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ME" sheetId="1" r:id="rId5"/>
    <sheet state="hidden" name="Lists" sheetId="2" r:id="rId6"/>
    <sheet state="visible" name="Pivot" sheetId="3" r:id="rId7"/>
    <sheet state="visible" name="Debit" sheetId="4" r:id="rId8"/>
    <sheet state="visible" name="Credit" sheetId="5" r:id="rId9"/>
    <sheet state="hidden" name="Fibre_Historical_Exp_by_Alam" sheetId="6" r:id="rId10"/>
    <sheet state="visible" name="Sales" sheetId="7" r:id="rId11"/>
    <sheet state="visible" name="Outstanding" sheetId="8" r:id="rId12"/>
    <sheet state="visible" name="Banking" sheetId="9" r:id="rId13"/>
    <sheet state="hidden" name="Monthly Spend" sheetId="10" r:id="rId14"/>
    <sheet state="visible" name="Summary" sheetId="11" r:id="rId15"/>
    <sheet state="visible" name="Settlement" sheetId="12" r:id="rId16"/>
  </sheets>
  <definedNames>
    <definedName hidden="1" localSheetId="3" name="_xlnm._FilterDatabase">Debit!$A$1:$G$277</definedName>
    <definedName hidden="1" localSheetId="3" name="Z_22943FB5_61AB_4879_AAED_07E2B368180D_.wvu.FilterData">Debit!$A$1:$G$161</definedName>
  </definedNames>
  <calcPr/>
  <customWorkbookViews>
    <customWorkbookView activeSheetId="0" maximized="1" windowHeight="0" windowWidth="0" guid="{22943FB5-61AB-4879-AAED-07E2B368180D}" name="Filter 1"/>
  </customWorkbookViews>
  <pivotCaches>
    <pivotCache cacheId="0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tc={ece1ff45-5406-4736-bc4b-dc9a43e3733a}</author>
  </authors>
  <commentList>
    <comment authorId="0" xr:uid="{ece1ff45-5406-4736-bc4b-dc9a43e3733a}" ref="F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fibre unit forklift ₹13,27,434 ($F$12) to be subtracted from this sum to match the bank balance
</t>
      </text>
    </comment>
  </commentList>
</comments>
</file>

<file path=xl/sharedStrings.xml><?xml version="1.0" encoding="utf-8"?>
<sst xmlns="http://schemas.openxmlformats.org/spreadsheetml/2006/main" count="2100" uniqueCount="407">
  <si>
    <t>Hexagro — Shareholder Settlement Data Workbook</t>
  </si>
  <si>
    <t>Cost Centers</t>
  </si>
  <si>
    <t>How to use</t>
  </si>
  <si>
    <t>1. Enter (or paste from Zoho Books' Expense Details export) every transaction in the 'Expenses' sheet — one row per payment. Yellow cells are for input.</t>
  </si>
  <si>
    <t>2. Enter sales in the 'Sales' sheet (invoiced and received per unit per month).</t>
  </si>
  <si>
    <t>3. Update the 'Banking' sheet snapshot (yellow cells) before each report.</t>
  </si>
  <si>
    <t>4. 'Monthly Spend', 'Summary' and 'Settlement' recalculate automatically — verify totals against Zoho Books before sharing.</t>
  </si>
  <si>
    <t>5. Cost center names, paid-through names, the raw-material account name, shareholding % and Alam attribution all live in the 'Lists' sheet — edit there and every formula follows.</t>
  </si>
  <si>
    <t>Legend</t>
  </si>
  <si>
    <t>Yellow cells = fill in.  Grey cells = auto-calculated, do not edit.</t>
  </si>
  <si>
    <t>Definitions</t>
  </si>
  <si>
    <t>Cost Center = the unit (Zoho reporting tag): Fibre / Chips / Washing.</t>
  </si>
  <si>
    <t>Category = 'Expense' (operating costs + fixed assets) or 'Raw Materials' (COGS purchases) — chosen per row via dropdown.</t>
  </si>
  <si>
    <t>Account = the Zoho expense account (free text, for reference and drill-down).</t>
  </si>
  <si>
    <t>Paid Through = whose money actually paid. Total Amount is inclusive of tax.</t>
  </si>
  <si>
    <t>Alam spend is attributed 50% to Jagadeesan and 50% to Jagadeshwaran in the settlement.</t>
  </si>
  <si>
    <t>Bank-account spend (CC A/c, Current A/c) is company money — shown in reports but excluded from the settlement.</t>
  </si>
  <si>
    <t>Periodic workflow (monthly now, weekly later)</t>
  </si>
  <si>
    <t>Append new rows to 'Expenses' and 'Sales' — never overwrite old rows. Update 'Banking'. Share the file (or paste Monthly Spend + Summary + Settlement + Banking) to generate the deck.</t>
  </si>
  <si>
    <t>Paid Through</t>
  </si>
  <si>
    <t>Months</t>
  </si>
  <si>
    <t>Month start</t>
  </si>
  <si>
    <t>Categories</t>
  </si>
  <si>
    <t>Shareholding % (edit if ownership changes)</t>
  </si>
  <si>
    <t>Fibre Unit</t>
  </si>
  <si>
    <t>Shareholder - Jagadeesan</t>
  </si>
  <si>
    <t>Apr 2026</t>
  </si>
  <si>
    <t>Expense</t>
  </si>
  <si>
    <t>Partner</t>
  </si>
  <si>
    <t>Chips Unit</t>
  </si>
  <si>
    <t>Washing Unit</t>
  </si>
  <si>
    <t>Shareholder - Jagadeshwaran</t>
  </si>
  <si>
    <t>May 2026</t>
  </si>
  <si>
    <t>Raw Materials</t>
  </si>
  <si>
    <t>Shareholder - Vellingiri</t>
  </si>
  <si>
    <t>Jun 2026</t>
  </si>
  <si>
    <t>Transfer Fund</t>
  </si>
  <si>
    <t>Date</t>
  </si>
  <si>
    <t>Alam Cocos</t>
  </si>
  <si>
    <t>Cost Center</t>
  </si>
  <si>
    <t>Type</t>
  </si>
  <si>
    <t>Vikas</t>
  </si>
  <si>
    <t>Jul 2026</t>
  </si>
  <si>
    <t>Old Transactions</t>
  </si>
  <si>
    <t>Account</t>
  </si>
  <si>
    <t>Payable to Alam</t>
  </si>
  <si>
    <t>Aug 2026</t>
  </si>
  <si>
    <t>Description</t>
  </si>
  <si>
    <t>Total Amount (₹)</t>
  </si>
  <si>
    <t>Union Bank - CC</t>
  </si>
  <si>
    <t>Sep 2026</t>
  </si>
  <si>
    <t>Union Bank - Current</t>
  </si>
  <si>
    <t>Oct 2026</t>
  </si>
  <si>
    <t>Alam attribution (share of Alam spend counted as each partner's contribution)</t>
  </si>
  <si>
    <t>Union Bank - Term Loan</t>
  </si>
  <si>
    <t>Nov 2026</t>
  </si>
  <si>
    <t>Alam share</t>
  </si>
  <si>
    <t>Dec 2026</t>
  </si>
  <si>
    <t>Jan 2027</t>
  </si>
  <si>
    <t>Feb 2027</t>
  </si>
  <si>
    <t>Mar 2027</t>
  </si>
  <si>
    <t>SUM of Total Amount (₹)</t>
  </si>
  <si>
    <t>Received To</t>
  </si>
  <si>
    <t>Amount</t>
  </si>
  <si>
    <t>Grand Total</t>
  </si>
  <si>
    <t>Bank Interest</t>
  </si>
  <si>
    <t>Administration Expense</t>
  </si>
  <si>
    <t>one third of March interest as shared</t>
  </si>
  <si>
    <t>Loan Recovery From : xxxxxxxxxxx0435</t>
  </si>
  <si>
    <t>TO CA</t>
  </si>
  <si>
    <t>Sales</t>
  </si>
  <si>
    <t>Thara substrates</t>
  </si>
  <si>
    <t>Bank Fees and Charges</t>
  </si>
  <si>
    <t>Loan Recovery From : xxxxxxxxxxx2381</t>
  </si>
  <si>
    <t>Old forklift return</t>
  </si>
  <si>
    <t>Return of Alam funds</t>
  </si>
  <si>
    <t>Building</t>
  </si>
  <si>
    <t>Only to reconcile the bank accounts match</t>
  </si>
  <si>
    <t>Construction Expense</t>
  </si>
  <si>
    <t>Employee Salaries</t>
  </si>
  <si>
    <t>weekly labor wages</t>
  </si>
  <si>
    <t>Electrical Expenses</t>
  </si>
  <si>
    <t>documentation</t>
  </si>
  <si>
    <t>Electricity Bills</t>
  </si>
  <si>
    <t>Employee Salaries - Baler</t>
  </si>
  <si>
    <t>JCB and tractor - subramaniam</t>
  </si>
  <si>
    <t>Vehicles</t>
  </si>
  <si>
    <t>Forklift oil</t>
  </si>
  <si>
    <t>Employee Salaries - Loaders</t>
  </si>
  <si>
    <t>hose purchase amount &amp; petrol</t>
  </si>
  <si>
    <t>IMPSAR/609612463859/M Arun/xxxxxxxxxxxx8656
 Hollow blocks - 300 nos.</t>
  </si>
  <si>
    <t>Naveen electricals</t>
  </si>
  <si>
    <t>Fuel Expense</t>
  </si>
  <si>
    <t>Loan Account Payments For : xxxxxxxxxxx0045</t>
  </si>
  <si>
    <t>Repairs and Maintenance</t>
  </si>
  <si>
    <t>crane for foklift - nanbargal</t>
  </si>
  <si>
    <t>Land</t>
  </si>
  <si>
    <t>patta drill &amp; cutting - chellam agencies</t>
  </si>
  <si>
    <t>IT and Internet Expenses</t>
  </si>
  <si>
    <t>EC and CC online copies</t>
  </si>
  <si>
    <t>Alam Labor &amp; Expenses Book</t>
  </si>
  <si>
    <t>Printing and Stationery</t>
  </si>
  <si>
    <t>internal transfer
 actual is 3,39,475 but the 39,475 belongs to pugazh cocos who also has acct in union bank</t>
  </si>
  <si>
    <t>CC of parent docs + EC prints for legal</t>
  </si>
  <si>
    <t>Labor</t>
  </si>
  <si>
    <t>bowser diesel</t>
  </si>
  <si>
    <t>one third of March eb blil as shared</t>
  </si>
  <si>
    <t>Jio recharge</t>
  </si>
  <si>
    <t>expenses incurred since the shareholding agreement (refer the xl sheet)</t>
  </si>
  <si>
    <t>Labor Maintenance</t>
  </si>
  <si>
    <t>Materials</t>
  </si>
  <si>
    <t>4" cutting wheel - 100 nos. , golden bullet , orient hardwares</t>
  </si>
  <si>
    <t>welding rod - 3 nos.</t>
  </si>
  <si>
    <t>electricity bill</t>
  </si>
  <si>
    <t>from 13- apr till 18-apr: 3240 - welder; 860 - santhosh; 350 - radha</t>
  </si>
  <si>
    <t>20 nos. of 1" shaft for coco chips</t>
  </si>
  <si>
    <t>ANGEL TRADERS</t>
  </si>
  <si>
    <t>P208 - 1.5 inches - 12 nos., gpay - Rs. 3,700 &amp; Rs. 200</t>
  </si>
  <si>
    <t>P205 - 1" - 25 nos., gpay</t>
  </si>
  <si>
    <t>Meals and Entertainment</t>
  </si>
  <si>
    <t>Transportation Expense</t>
  </si>
  <si>
    <t>Straps - transportation</t>
  </si>
  <si>
    <t>Chips Materials</t>
  </si>
  <si>
    <t>Negamam Release Deed CC, Kinathukadavu CC , prints</t>
  </si>
  <si>
    <t>12050 - mason work wages + 4020 - cement 12 bags</t>
  </si>
  <si>
    <t>earth rod</t>
  </si>
  <si>
    <t>eb bill</t>
  </si>
  <si>
    <t>new nut work</t>
  </si>
  <si>
    <t>xxxxxxxxxxx0045:N Int.:31-03-2026 to 29-04-2026</t>
  </si>
  <si>
    <t>ideal bearings, gpay</t>
  </si>
  <si>
    <t>Hydraulic oil 210 litres</t>
  </si>
  <si>
    <t>srs agro</t>
  </si>
  <si>
    <t>transportation (porter?) for motor delivery</t>
  </si>
  <si>
    <t>Travel Expense</t>
  </si>
  <si>
    <t>weekly salary for chips</t>
  </si>
  <si>
    <t>Radha loader salary from jun 1</t>
  </si>
  <si>
    <t>chemical for earthing</t>
  </si>
  <si>
    <t>bought by welder, gpay</t>
  </si>
  <si>
    <t>weekly salary (₹12,965) + pickup drop (₹1,500)</t>
  </si>
  <si>
    <t>bolt nuts - welder purchase, gpay to srs agro</t>
  </si>
  <si>
    <t>Ms angle .. sakthi mariamman #520</t>
  </si>
  <si>
    <t>6 months cibil subscription for hexagro, paid from credit card</t>
  </si>
  <si>
    <t>3 months labor rice - 5 ppl</t>
  </si>
  <si>
    <t>Paint &amp; welding rod , gpay to srs agro</t>
  </si>
  <si>
    <t>vehicle tyre powder, grease, wheel fittting</t>
  </si>
  <si>
    <t>Ms angle .. sakthi mariamman #625</t>
  </si>
  <si>
    <t>hose, nuts, fittings, labor</t>
  </si>
  <si>
    <t>Lathe work</t>
  </si>
  <si>
    <t>radha loading, weigh bridge</t>
  </si>
  <si>
    <t>weekly salary for chips unit</t>
  </si>
  <si>
    <t>Total</t>
  </si>
  <si>
    <t>plywood for chips unit</t>
  </si>
  <si>
    <t>New Limit 5000000
 CC processing charges</t>
  </si>
  <si>
    <t>plywood transportation, paid by yuvaraj gpay</t>
  </si>
  <si>
    <t>gpay to tata ace mahalingam for chips Materials transportation</t>
  </si>
  <si>
    <t>Kinathukadavu CC of 1955 document</t>
  </si>
  <si>
    <t>gearboxes - 4 - from ganapathy, cbe location</t>
  </si>
  <si>
    <t>Processing charges</t>
  </si>
  <si>
    <t>note: these expenses are already reconciled with Vikas in the planning sheet</t>
  </si>
  <si>
    <t>Alam contribution (66.666%)</t>
  </si>
  <si>
    <t>Surveyor 7k + food</t>
  </si>
  <si>
    <t>cash withdrawal charges</t>
  </si>
  <si>
    <t>cutting wheel, welding rod</t>
  </si>
  <si>
    <t>snacks for staff</t>
  </si>
  <si>
    <t>Rithvik pipes bill PVC pipe, bend, coupler, solvent</t>
  </si>
  <si>
    <t>thinner, wood cutter, etc.</t>
  </si>
  <si>
    <t>pulley, etc.</t>
  </si>
  <si>
    <t>motors - 1.54 L, rollers - 35K, wirenet - 8.5K, RAI - 16.5K, belt - 50K</t>
  </si>
  <si>
    <t>pulleys and accessories from pollachi, gpay</t>
  </si>
  <si>
    <t>angle, patta</t>
  </si>
  <si>
    <t>xxxxxxxxxxx0435:Int.Coll:15-05-2026 to 31-05-2026</t>
  </si>
  <si>
    <t>xxxxxxxxxxx0045:N Int.:30-04-2026 to 30-05-2026</t>
  </si>
  <si>
    <t>Belt joint completed : Total 3 joints</t>
  </si>
  <si>
    <t>key rod, drill bit</t>
  </si>
  <si>
    <t>Rithvik pipes bill PVC pipes</t>
  </si>
  <si>
    <t>switch and fuse from raja</t>
  </si>
  <si>
    <t>kannan and sons, gpay</t>
  </si>
  <si>
    <t>weekly salary for chips unit + kattampatti unit, + 675 for radha</t>
  </si>
  <si>
    <t>weekly salary</t>
  </si>
  <si>
    <t>Sakthi Mariamman bill 742, Alam paid</t>
  </si>
  <si>
    <t>₹100 stamp paper for cc ebanking, gpay</t>
  </si>
  <si>
    <t>eTXN/To:xxxxxxxxxxx2077/naveen electricals</t>
  </si>
  <si>
    <t>srs veegrip belt b-76, gpay</t>
  </si>
  <si>
    <t>IMPSAR/616123426319/Subramaniam Pal/xxxxxxxxxx2237
 Jcb for 10 hrs + batta</t>
  </si>
  <si>
    <t>2 stamps for hexagro - one for seal and one round seal, gpay</t>
  </si>
  <si>
    <t>AIF Application commission, Gpay</t>
  </si>
  <si>
    <t>20% of the eb bill</t>
  </si>
  <si>
    <t>weekly salary
 chips unit - ₹33,869
 check attendance sheet</t>
  </si>
  <si>
    <t>To Sudhakar for markings of bunker</t>
  </si>
  <si>
    <t>sakthi mariamman bill #1393</t>
  </si>
  <si>
    <t>Month</t>
  </si>
  <si>
    <t>Invoiced (₹)</t>
  </si>
  <si>
    <t>Received (₹)</t>
  </si>
  <si>
    <t>Notes</t>
  </si>
  <si>
    <t>For Vellingiri msand/jalli</t>
  </si>
  <si>
    <t>Vellingiri Senthilkumar</t>
  </si>
  <si>
    <t>Vetrivel Murugan</t>
  </si>
  <si>
    <t>thara substrates</t>
  </si>
  <si>
    <t>NEFTO-R VELLIANGIRI 002807920169
 For jalli ?</t>
  </si>
  <si>
    <t>from 01/04/2026 till 20/06/2026
 refer attachment</t>
  </si>
  <si>
    <t>weekly salary
 chips unit labor - ₹34,376
 chips unit labor pickup drop - ₹3,000
 check attendance sheet</t>
  </si>
  <si>
    <t>alaya coirs 3 containers</t>
  </si>
  <si>
    <t>Radha</t>
  </si>
  <si>
    <t>welding rod, box, socket, etc. - srs</t>
  </si>
  <si>
    <t>ePAY/To:TECHPROCESS/701537438/zoho books</t>
  </si>
  <si>
    <t>Pre-Jun fibre expenses (Alam 66.66%; Vikas reconciled)</t>
  </si>
  <si>
    <t>rice for hexagro labor
 gpay</t>
  </si>
  <si>
    <t>Karamadai Broker</t>
  </si>
  <si>
    <t>Outstanding payments (unpaid — informational, not part of spend or settlement)</t>
  </si>
  <si>
    <t>Charges for PORD Customer Payment:UBINJ26174534891</t>
  </si>
  <si>
    <t>Charges for PORD Customer Payment:UBINJ26174531819</t>
  </si>
  <si>
    <t>NEFTO-M SUDHAKAR 002816173929</t>
  </si>
  <si>
    <t>NEFTO-VELLIANGIRI 002816407031</t>
  </si>
  <si>
    <t>eicher vehicle emi - for apr 2026</t>
  </si>
  <si>
    <t>eicher vehicle emi - for may 2026</t>
  </si>
  <si>
    <t>Item / Party</t>
  </si>
  <si>
    <t>eicher vehicle emi - for jun 2026</t>
  </si>
  <si>
    <t>AG Coir</t>
  </si>
  <si>
    <t>Amount (₹)</t>
  </si>
  <si>
    <t>Charges for PORD Customer Payment:UBINJ26175990026</t>
  </si>
  <si>
    <t>Sakthi Mariamman</t>
  </si>
  <si>
    <t>Charges for PORD Customer Payment:UBINK26175017859</t>
  </si>
  <si>
    <t>Sevur Broker</t>
  </si>
  <si>
    <t>Rhythm Fibre (For majestic cocos)</t>
  </si>
  <si>
    <t>HP Cocos</t>
  </si>
  <si>
    <t>Rhythm Fibres</t>
  </si>
  <si>
    <t>Gpay
 Mesh net</t>
  </si>
  <si>
    <t>13 fibre loads, ₹ to be calc.</t>
  </si>
  <si>
    <t>7.5 loads of msand from alam to hexagro2
 ₹5,000 per load</t>
  </si>
  <si>
    <t>Vellingiri Field Work</t>
  </si>
  <si>
    <t>alam labor work</t>
  </si>
  <si>
    <t>Gpay to Radha for weigh bridge</t>
  </si>
  <si>
    <t>Naveen Periyakalanthai</t>
  </si>
  <si>
    <t>Yet to be calculated</t>
  </si>
  <si>
    <t>Naveen Electricals</t>
  </si>
  <si>
    <t>Rithvik Pipe Company</t>
  </si>
  <si>
    <t>bill 2454</t>
  </si>
  <si>
    <t>weekly salary
 120kg labor - ₹4,508
 check attendance sheet</t>
  </si>
  <si>
    <t>weekly salary
 check attendance sheet , also attached</t>
  </si>
  <si>
    <t>for subramaniam jcb hexagro2</t>
  </si>
  <si>
    <t>DOC V ETTING CHRGS FOR 501-60435</t>
  </si>
  <si>
    <t>Super Fine Coirs (Fibre)</t>
  </si>
  <si>
    <t>Legal - Online EC
 Cash to A Sundarraj Pollachi
 All documents print</t>
  </si>
  <si>
    <t>xxxxxxxxxxx0435:Int.Coll:01-06-2026 to 30-06-2026</t>
  </si>
  <si>
    <t>certified copy</t>
  </si>
  <si>
    <t>Periyanaickenpalayam Broker (Green Husk)</t>
  </si>
  <si>
    <t>xxxxxxxxxxx0045:N Int. Jun month</t>
  </si>
  <si>
    <t>gas cylinder for hexagro2 staff</t>
  </si>
  <si>
    <t>tiles for house</t>
  </si>
  <si>
    <t xml:space="preserve">Radha: 30/6 to 3/6 </t>
  </si>
  <si>
    <t>building tiles labor advance</t>
  </si>
  <si>
    <t>nuts and bolts</t>
  </si>
  <si>
    <t>Legal - Advance (balance ₹4,000)
 Cash to A Sundarraj Pollachi
 + 2 stamp papers</t>
  </si>
  <si>
    <t>NEFTO-DK DISTRIBUTOR 002839456524
 cement</t>
  </si>
  <si>
    <t>NEFTO-SUBRAMANIAM 002838793202
 Jcb</t>
  </si>
  <si>
    <t>rajini mason 50K
 balance 10K</t>
  </si>
  <si>
    <r>
      <t xml:space="preserve">check </t>
    </r>
    <r>
      <rPr>
        <rFont val="Roboto"/>
        <color rgb="FF1155CC"/>
        <sz val="11.0"/>
        <u/>
      </rPr>
      <t>https://docs.google.com/spreadsheets/d/1U4tnouc8aWLVD1l3gCB0oCSp4B3DZ8895vxeOrqx2qU/edit?usp=sharing</t>
    </r>
    <r>
      <rPr>
        <rFont val="Roboto"/>
        <color theme="1"/>
        <sz val="11.0"/>
      </rPr>
      <t xml:space="preserve"> for details</t>
    </r>
  </si>
  <si>
    <t>yuvaraj expenses (from alam funds) for chips unit</t>
  </si>
  <si>
    <t>Banking snapshot (update before each report)</t>
  </si>
  <si>
    <t>6 trips for alam to hexagro labor</t>
  </si>
  <si>
    <t>As-of date</t>
  </si>
  <si>
    <t>1 bag cement, alam to chips unit</t>
  </si>
  <si>
    <r>
      <t xml:space="preserve">weekly salary
 check </t>
    </r>
    <r>
      <rPr>
        <rFont val="Roboto"/>
        <color rgb="FF1155CC"/>
        <sz val="11.0"/>
        <u/>
      </rPr>
      <t>https://docs.google.com/spreadsheets/d/1U4tnouc8aWLVD1l3gCB0oCSp4B3DZ8895vxeOrqx2qU/edit?usp=sharing</t>
    </r>
    <r>
      <rPr>
        <rFont val="Roboto"/>
        <color theme="1"/>
        <sz val="11.0"/>
      </rPr>
      <t xml:space="preserve"> for details</t>
    </r>
  </si>
  <si>
    <t>borewell point identification diviner
 gpay</t>
  </si>
  <si>
    <t>RAI hardware
 UCP 205 BBZ, Bottom shaft 36"</t>
  </si>
  <si>
    <t>CC limit (₹)</t>
  </si>
  <si>
    <t>CC utilised (₹)</t>
  </si>
  <si>
    <t>balance legal opinion fees
 gpay</t>
  </si>
  <si>
    <t>tiles labor balance
 gpay</t>
  </si>
  <si>
    <t>CC available (₹)</t>
  </si>
  <si>
    <t>Only Coconuts Jallipatti</t>
  </si>
  <si>
    <t>yuvaraj expenses (from alam funds) for kattampatti unit</t>
  </si>
  <si>
    <t>alam to hexagro2:
 cement - 20 + 30 bags
 + 1/2 3/4 jalli 1 unit</t>
  </si>
  <si>
    <r>
      <t xml:space="preserve">weekly salary
 check </t>
    </r>
    <r>
      <rPr>
        <rFont val="Roboto"/>
        <color rgb="FF1155CC"/>
        <sz val="11.0"/>
        <u/>
      </rPr>
      <t>https://docs.google.com/spreadsheets/d/1U4tnouc8aWLVD1l3gCB0oCSp4B3DZ8895vxeOrqx2qU/edit?usp=sharing</t>
    </r>
    <r>
      <rPr>
        <rFont val="Roboto"/>
        <color theme="1"/>
        <sz val="11.0"/>
      </rPr>
      <t xml:space="preserve"> for details</t>
    </r>
  </si>
  <si>
    <t>NEFTO-YUVARAJ E 002849379971
 Yuvaraj -- Jun salary</t>
  </si>
  <si>
    <t>Current account balance (₹)</t>
  </si>
  <si>
    <t>eicher vehicle emi</t>
  </si>
  <si>
    <t>Term Loan outstanding (₹)</t>
  </si>
  <si>
    <t>gpay for valuer</t>
  </si>
  <si>
    <t>Payable to Alam — opening (₹)</t>
  </si>
  <si>
    <t>Alam inflows this FY (₹)</t>
  </si>
  <si>
    <t>alam to hexagro2:
 cement - 20 + 45 bags</t>
  </si>
  <si>
    <t>Alam funds utilised this FY (₹)</t>
  </si>
  <si>
    <t>chips motor coupler</t>
  </si>
  <si>
    <t>p206
 RAI hardware pollachi</t>
  </si>
  <si>
    <t>chips unit roller
 conveyor belt
 alpha traders
 transport and fuel</t>
  </si>
  <si>
    <t>welding rod - 2 nos
 cutting wheel - 15 nos</t>
  </si>
  <si>
    <t>₹10,884 -- refer the "weekly staff attendance tracker" google spreadsheet for the breakdown
 + ₹1,718 -- radha labor</t>
  </si>
  <si>
    <t>₹20,653-- refer the "weekly staff attendance tracker" google spreadsheet for the breakdown
 + ₹240 -- radha labor</t>
  </si>
  <si>
    <t>₹1,761-- refer the "weekly staff attendance tracker" google spreadsheet for the breakdown..
 + ₹200 -- radha labor</t>
  </si>
  <si>
    <t>Payable to Alam — closing (₹)</t>
  </si>
  <si>
    <t>calculator</t>
  </si>
  <si>
    <t>rajini mason 100K
 balance 53k?</t>
  </si>
  <si>
    <t>legal extra fees (to include the non-agri certificate)
 gpay</t>
  </si>
  <si>
    <t>karthi petrol for pollachi legal office and union bank visit</t>
  </si>
  <si>
    <t>chips belt joint 2 nos</t>
  </si>
  <si>
    <t>'Alam funds utilised' is auto-summed from Expenses rows where Paid Through = Alam.</t>
  </si>
  <si>
    <t>for mca portal to download the CHG1 form</t>
  </si>
  <si>
    <t>Charges for PORD Customer Payment:UBINJ26194099683</t>
  </si>
  <si>
    <t>PKS Coir Enterprises</t>
  </si>
  <si>
    <t>gpay for valuer (balance)
 valuation
 total ₹15,000</t>
  </si>
  <si>
    <t>Charges for PORD Customer Payment:UBINK26196017707</t>
  </si>
  <si>
    <t>Charges for PORD Customer Payment:UBINK26196014616</t>
  </si>
  <si>
    <t>Jcb SUBRAMANIAM PALANISAMY 002860463763</t>
  </si>
  <si>
    <t>Alam funds in CA</t>
  </si>
  <si>
    <t>Charges for PORD Customer Payment:UBINJ26197769128</t>
  </si>
  <si>
    <t>diesel</t>
  </si>
  <si>
    <t>EB bill
 50% here and 50% for chips</t>
  </si>
  <si>
    <t>project valuer fees</t>
  </si>
  <si>
    <t>₹8,149-- refer the "weekly staff attendance tracker" google spreadsheet for the breakdown
 + ₹2,312 -- radha labor</t>
  </si>
  <si>
    <t>₹7,445-- refer the "weekly staff attendance tracker" google spreadsheet for the breakdown</t>
  </si>
  <si>
    <t>refer the "weekly staff attendance tracker" google spreadsheet for the breakdown</t>
  </si>
  <si>
    <t>forklift MP labor contract weekly salary
 gpay</t>
  </si>
  <si>
    <t>Rajini balance
 ₹2,170 balance</t>
  </si>
  <si>
    <t>rajini for 120kg work</t>
  </si>
  <si>
    <t>Monthly spend by cost center and paid-through — auto-calculated from Expenses (do not edit)</t>
  </si>
  <si>
    <t>GST penalty for historic issue</t>
  </si>
  <si>
    <t>forklift diesel
 gpay to yuvaraj</t>
  </si>
  <si>
    <t>Expenses (₹)</t>
  </si>
  <si>
    <t>Raw Materials (₹)</t>
  </si>
  <si>
    <t>Charges for PORD Customer Payment:UBINK26201056108</t>
  </si>
  <si>
    <t>Total (₹)</t>
  </si>
  <si>
    <t>Charges for PORD Customer Payment:UBINK26201049247</t>
  </si>
  <si>
    <t>DK DISTRIBUTOR</t>
  </si>
  <si>
    <t>NESL FEE/xxxxxxxxxxx0435 NEW ACCOUNT MAY26</t>
  </si>
  <si>
    <t>TO NAVEEN ELECTRICALS</t>
  </si>
  <si>
    <t>₹500 for weigh bridge
 radha, gpay</t>
  </si>
  <si>
    <t>NEFTO-DK DISTRIBUTOR 002891261749</t>
  </si>
  <si>
    <t>MP labor weekly payment</t>
  </si>
  <si>
    <t>sri palani andavar tractor works
 suresh solapalayam
 hitech loader</t>
  </si>
  <si>
    <t>₹11,584- refer the "weekly staff attendance tracker" google spreadsheet for the breakdown
 excl. the MP labor that is paid and considered separately. this is only alam paid expense.</t>
  </si>
  <si>
    <t>diesel
 gpay</t>
  </si>
  <si>
    <t>attachment
 + ₹100 for baler for petrol and tea</t>
  </si>
  <si>
    <t>ad blue oil
 gpay</t>
  </si>
  <si>
    <t>Lorrystop 
 gpay</t>
  </si>
  <si>
    <t>fibre vehicle extension
 2 times gpay.- ₹4780 + ₹170</t>
  </si>
  <si>
    <t>radha weigh bridge
 advance</t>
  </si>
  <si>
    <t>120 diesel 
 phonepe to yuvaraj dated 22/7/26</t>
  </si>
  <si>
    <t>cylinder for labor
 phonepe on 23/7/26</t>
  </si>
  <si>
    <t>claude code monthly subscription. 
 quite useful for bank docs, quotes, excel automation, data maintenance, etc.
 this is actually for Jul 1st, 2026</t>
  </si>
  <si>
    <t>vehicle tyre</t>
  </si>
  <si>
    <t>Thiru
 last yr (2025) quote (incl gst) is attached.
 this yr for new loan, sent ₹12,000 and balance to be settled afterwards.
 details in WA to Thiru (personal)</t>
  </si>
  <si>
    <t>Pugazh Cocos</t>
  </si>
  <si>
    <r>
      <rPr>
        <rFont val="Roboto"/>
        <color rgb="FF1155CC"/>
        <sz val="11.0"/>
        <u/>
      </rPr>
      <t>hexagrofibre.com</t>
    </r>
    <r>
      <rPr>
        <rFont val="Roboto"/>
        <color theme="1"/>
        <sz val="11.0"/>
      </rPr>
      <t xml:space="preserve"> domain renewnal</t>
    </r>
  </si>
  <si>
    <t>Charges for PORD Customer Payment:UBINJ26212115352</t>
  </si>
  <si>
    <t>xxxxxxxxxxx0435:Int.Coll:01-07-2026 to 31-07-2026</t>
  </si>
  <si>
    <t>xxxxxxxxxxx0045:N Int.:30-06-2026 to 30-07-2026</t>
  </si>
  <si>
    <t>radha
 weigh bridge</t>
  </si>
  <si>
    <t>Charges for PORD Customer Payment:UBINJ26213943303</t>
  </si>
  <si>
    <t>Charges for PORD Customer Payment:UBINH26213991001</t>
  </si>
  <si>
    <t>new mahindra vehicle</t>
  </si>
  <si>
    <t>claude code monthly subscription. 
 quite useful for bank docs, quotes, excel automation, data maintenance, etc.</t>
  </si>
  <si>
    <t>gearbox - 1</t>
  </si>
  <si>
    <t>bowser diesel
 sri ram enterprisess</t>
  </si>
  <si>
    <t>weigh bridge &amp; tea</t>
  </si>
  <si>
    <t>date 16/07
 labor materials
 paid by yuvaraj gpay</t>
  </si>
  <si>
    <t>cylinders for 120 labors + ₹1000 for fuel
 date: 16/07</t>
  </si>
  <si>
    <t>maligai
 paid by yuvaraj
 date: 18/07</t>
  </si>
  <si>
    <t>plywood, paid by yuva gpay
 18/07</t>
  </si>
  <si>
    <t>Charges for PORD Customer Payment:UBINK26218016305</t>
  </si>
  <si>
    <t>Charges for PORD Customer Payment:UBINJ26217107416</t>
  </si>
  <si>
    <t>Charges for PORD Customer Payment:UBINH26218337962</t>
  </si>
  <si>
    <t>Charges for PORD Customer Payment:UBINK26218013409</t>
  </si>
  <si>
    <t>Raw materials</t>
  </si>
  <si>
    <t>Chellam Lathe Works</t>
  </si>
  <si>
    <t>ORIENT CONSTRUCTION EQUIPMENTS AND ENGINEERING</t>
  </si>
  <si>
    <t>Transfer fund</t>
  </si>
  <si>
    <t>ORIENT CONSTRUCTION EQUIPMENTS AND ENGINEERING (actual pay date: 21/5)</t>
  </si>
  <si>
    <t>Jio camera recharge
 phonepe</t>
  </si>
  <si>
    <t>cement for 120kg ramp construction
 phonepe to selva nayaki traders</t>
  </si>
  <si>
    <t>kayiru</t>
  </si>
  <si>
    <t>weigh bridge
 actual pay date: 04/08</t>
  </si>
  <si>
    <t>weigh bridge &amp; tea - 4 trips
 phonepe</t>
  </si>
  <si>
    <t>attached the list of expenses by Vellingiri
 exclude ₹4,186 (channels) which is for chips unit</t>
  </si>
  <si>
    <t>channel (last item in the attached list)</t>
  </si>
  <si>
    <t>EB bill
 70% fibre and 30% for chips</t>
  </si>
  <si>
    <t>yuvaraj expenses - paint, brush, petrol</t>
  </si>
  <si>
    <t>yuvaraj expenses - level tube, chalk, tape, petrol</t>
  </si>
  <si>
    <t>yuvaraj expenses - petrol</t>
  </si>
  <si>
    <t>FY-to-date summary — auto-calculated from Expenses (do not edit)</t>
  </si>
  <si>
    <t>new labor Ram travel expense
 phonepe</t>
  </si>
  <si>
    <t>Tarpaulin for vehicle</t>
  </si>
  <si>
    <t>pvc pipe</t>
  </si>
  <si>
    <t>ram and other hindi labor transportation phonepe (3k + 2k)</t>
  </si>
  <si>
    <t>prints and photos for MOD</t>
  </si>
  <si>
    <t>CA Thiru balance fees for MOD docs</t>
  </si>
  <si>
    <t>yuvaraj fibre advance for weekly expense</t>
  </si>
  <si>
    <t>Charges for PORD Customer Payment:UBINK26233073078</t>
  </si>
  <si>
    <t>Expenses</t>
  </si>
  <si>
    <t>Vinothkumar Kinathukadavu</t>
  </si>
  <si>
    <t>Other Debits</t>
  </si>
  <si>
    <t>Credit</t>
  </si>
  <si>
    <t>Overall Summary</t>
  </si>
  <si>
    <t>Settlement working — auto-calculated (do not edit).</t>
  </si>
  <si>
    <t>Share %</t>
  </si>
  <si>
    <t>Paid</t>
  </si>
  <si>
    <t>UBI share</t>
  </si>
  <si>
    <t>Contribution</t>
  </si>
  <si>
    <t>Fair share</t>
  </si>
  <si>
    <t>Net</t>
  </si>
  <si>
    <t>Total (partners + Alam)</t>
  </si>
  <si>
    <t>Overall net position (all units)</t>
  </si>
  <si>
    <t>Overall net (₹)</t>
  </si>
  <si>
    <t>Adjustment (₹)</t>
  </si>
  <si>
    <t>Adjusted Net (₹)</t>
  </si>
  <si>
    <t>Positive = contributed more than fair share (to receive). Alam spend counts as Jagadeesan &amp; Jagadeshwaran's contribution per the Lists sheet attribution.</t>
  </si>
  <si>
    <t>Tip: in Google Sheets, filter this table by Month/Cost Center to review a period, or pivot it further.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</si>
</sst>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-&quot;mmm&quot;-&quot;yy"/>
    <numFmt numFmtId="165" formatCode="[$₹][&gt;9999999]##\,##\,##\,##0;[$₹][&gt;99999]##\,##\,##0;[$₹]##,##0"/>
    <numFmt numFmtId="166" formatCode="dd\-mmm\-yy"/>
    <numFmt numFmtId="167" formatCode="dd-mmm-yy"/>
    <numFmt numFmtId="168" formatCode="&quot;₹&quot;#,##0"/>
    <numFmt numFmtId="169" formatCode="#,##0;\(#,##0\);\-"/>
    <numFmt numFmtId="170" formatCode="dd&quot;-&quot;mmm&quot;-&quot;yyyy"/>
  </numFmts>
  <fonts count="28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rgb="FF0000FF"/>
      <name val="Arial"/>
    </font>
    <font>
      <sz val="10.0"/>
      <color rgb="FF5F6B5F"/>
      <name val="Arial"/>
    </font>
    <font>
      <b/>
      <sz val="11.0"/>
      <color rgb="FFFFFFFF"/>
      <name val="Roboto"/>
    </font>
    <font>
      <color theme="1"/>
      <name val="Calibri"/>
      <scheme val="minor"/>
    </font>
    <font>
      <sz val="11.0"/>
      <color rgb="FFFFFFFF"/>
      <name val="Calibri"/>
    </font>
    <font>
      <sz val="11.0"/>
      <color theme="1"/>
      <name val="Roboto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Roboto"/>
    </font>
    <font>
      <color rgb="FF000000"/>
      <name val="Roboto"/>
    </font>
    <font>
      <b/>
      <color theme="1"/>
      <name val="Calibri"/>
      <scheme val="minor"/>
    </font>
    <font>
      <i/>
      <color theme="1"/>
      <name val="Calibri"/>
      <scheme val="minor"/>
    </font>
    <font>
      <sz val="10.0"/>
      <color rgb="FF5F6B5F"/>
      <name val="Calibri"/>
    </font>
    <font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Roboto"/>
    </font>
    <font>
      <u/>
      <sz val="11.0"/>
      <color theme="1"/>
      <name val="Roboto"/>
    </font>
    <font>
      <color rgb="FF000000"/>
      <name val="Calibri"/>
      <scheme val="minor"/>
    </font>
    <font>
      <b/>
      <color rgb="FF000000"/>
      <name val="Helvetica Neue"/>
    </font>
    <font>
      <color rgb="FF000000"/>
      <name val="Helvetica Neue"/>
    </font>
    <font>
      <b/>
      <sz val="12.0"/>
      <color rgb="FF2C5F2D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C5F2D"/>
        <bgColor rgb="FF2C5F2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F1E3"/>
        <bgColor rgb="FFEAF1E3"/>
      </patternFill>
    </fill>
    <fill>
      <patternFill patternType="solid">
        <fgColor rgb="FFF3F6F0"/>
        <bgColor rgb="FFF3F6F0"/>
      </patternFill>
    </fill>
    <fill>
      <patternFill patternType="solid">
        <fgColor rgb="FFD4D4D4"/>
        <bgColor rgb="FFD4D4D4"/>
      </patternFill>
    </fill>
  </fills>
  <borders count="8">
    <border/>
    <border>
      <left/>
      <right/>
      <top/>
      <bottom/>
    </border>
    <border>
      <left style="thin">
        <color rgb="FFC9D3C4"/>
      </left>
      <right style="thin">
        <color rgb="FFC9D3C4"/>
      </right>
      <top style="thin">
        <color rgb="FFC9D3C4"/>
      </top>
      <bottom style="thin">
        <color rgb="FFC9D3C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readingOrder="0" shrinkToFit="0" vertical="bottom" wrapText="0"/>
    </xf>
    <xf borderId="0" fillId="0" fontId="7" numFmtId="166" xfId="0" applyAlignment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3" fontId="6" numFmtId="10" xfId="0" applyAlignment="1" applyBorder="1" applyFill="1" applyFont="1" applyNumberFormat="1">
      <alignment shrinkToFit="0" vertical="bottom" wrapText="0"/>
    </xf>
    <xf borderId="2" fillId="2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readingOrder="0"/>
    </xf>
    <xf borderId="2" fillId="2" fontId="8" numFmtId="0" xfId="0" applyAlignment="1" applyBorder="1" applyFill="1" applyFont="1">
      <alignment horizontal="center" readingOrder="0" shrinkToFit="0" vertical="center" wrapText="0"/>
    </xf>
    <xf borderId="2" fillId="3" fontId="6" numFmtId="9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horizontal="center" readingOrder="0" vertical="center"/>
    </xf>
    <xf borderId="2" fillId="0" fontId="11" numFmtId="164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3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" fillId="0" fontId="11" numFmtId="0" xfId="0" applyAlignment="1" applyBorder="1" applyFont="1">
      <alignment readingOrder="0" shrinkToFit="0" vertical="center" wrapText="0"/>
    </xf>
    <xf borderId="3" fillId="0" fontId="0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2" fillId="2" fontId="4" numFmtId="0" xfId="0" applyAlignment="1" applyBorder="1" applyFill="1" applyFont="1">
      <alignment horizontal="center" readingOrder="0" shrinkToFit="0" vertical="center" wrapText="0"/>
    </xf>
    <xf borderId="3" fillId="0" fontId="0" numFmtId="0" xfId="0" applyAlignment="1" applyBorder="1" applyFont="1">
      <alignment vertical="center"/>
    </xf>
    <xf borderId="0" fillId="4" fontId="11" numFmtId="167" xfId="0" applyAlignment="1" applyFill="1" applyFont="1" applyNumberFormat="1">
      <alignment horizontal="center" readingOrder="0" vertical="center"/>
    </xf>
    <xf borderId="3" fillId="0" fontId="0" numFmtId="165" xfId="0" applyAlignment="1" applyBorder="1" applyFont="1" applyNumberFormat="1">
      <alignment vertical="center"/>
    </xf>
    <xf borderId="0" fillId="4" fontId="11" numFmtId="0" xfId="0" applyAlignment="1" applyFill="1" applyFont="1">
      <alignment readingOrder="0" vertical="center"/>
    </xf>
    <xf borderId="2" fillId="5" fontId="13" numFmtId="166" xfId="0" applyAlignment="1" applyBorder="1" applyFill="1" applyFont="1" applyNumberFormat="1">
      <alignment horizontal="center"/>
    </xf>
    <xf borderId="3" fillId="0" fontId="0" numFmtId="165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2" fillId="0" fontId="11" numFmtId="165" xfId="0" applyAlignment="1" applyBorder="1" applyFont="1" applyNumberFormat="1">
      <alignment readingOrder="0" shrinkToFit="0" vertical="center" wrapText="0"/>
    </xf>
    <xf borderId="0" fillId="4" fontId="11" numFmtId="0" xfId="0" applyAlignment="1" applyFill="1" applyFont="1">
      <alignment vertical="center"/>
    </xf>
    <xf borderId="0" fillId="4" fontId="14" numFmtId="0" xfId="0" applyAlignment="1" applyFill="1" applyFont="1">
      <alignment readingOrder="0" vertical="center"/>
    </xf>
    <xf borderId="0" fillId="4" fontId="11" numFmtId="168" xfId="0" applyAlignment="1" applyFill="1" applyFont="1" applyNumberFormat="1">
      <alignment readingOrder="0" vertical="center"/>
    </xf>
    <xf borderId="5" fillId="0" fontId="9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2" fillId="5" fontId="13" numFmtId="0" xfId="0" applyBorder="1" applyFill="1" applyFont="1"/>
    <xf borderId="2" fillId="0" fontId="11" numFmtId="164" xfId="0" applyAlignment="1" applyBorder="1" applyFont="1" applyNumberFormat="1">
      <alignment horizontal="center" shrinkToFit="0" vertical="center" wrapText="0"/>
    </xf>
    <xf borderId="2" fillId="0" fontId="11" numFmtId="0" xfId="0" applyAlignment="1" applyBorder="1" applyFont="1">
      <alignment shrinkToFit="0" vertical="center" wrapText="0"/>
    </xf>
    <xf borderId="0" fillId="6" fontId="11" numFmtId="0" xfId="0" applyAlignment="1" applyFill="1" applyFont="1">
      <alignment readingOrder="0" vertical="center"/>
    </xf>
    <xf borderId="2" fillId="0" fontId="11" numFmtId="165" xfId="0" applyAlignment="1" applyBorder="1" applyFont="1" applyNumberFormat="1">
      <alignment shrinkToFit="0" vertical="center" wrapText="0"/>
    </xf>
    <xf borderId="2" fillId="5" fontId="13" numFmtId="169" xfId="0" applyAlignment="1" applyBorder="1" applyFill="1" applyFont="1" applyNumberFormat="1">
      <alignment horizontal="right"/>
    </xf>
    <xf borderId="2" fillId="0" fontId="11" numFmtId="0" xfId="0" applyAlignment="1" applyBorder="1" applyFont="1">
      <alignment vertical="center"/>
    </xf>
    <xf borderId="0" fillId="4" fontId="15" numFmtId="167" xfId="0" applyAlignment="1" applyFill="1" applyFont="1" applyNumberFormat="1">
      <alignment horizontal="center" readingOrder="0" vertical="center"/>
    </xf>
    <xf borderId="2" fillId="0" fontId="11" numFmtId="0" xfId="0" applyAlignment="1" applyBorder="1" applyFont="1">
      <alignment readingOrder="0" vertical="center"/>
    </xf>
    <xf borderId="0" fillId="4" fontId="15" numFmtId="0" xfId="0" applyAlignment="1" applyFill="1" applyFont="1">
      <alignment readingOrder="0" vertical="center"/>
    </xf>
    <xf borderId="2" fillId="0" fontId="11" numFmtId="165" xfId="0" applyAlignment="1" applyBorder="1" applyFont="1" applyNumberFormat="1">
      <alignment horizontal="right" readingOrder="0" vertical="center"/>
    </xf>
    <xf borderId="2" fillId="0" fontId="11" numFmtId="164" xfId="0" applyAlignment="1" applyBorder="1" applyFont="1" applyNumberFormat="1">
      <alignment horizontal="center" readingOrder="0" shrinkToFit="0" vertical="center" wrapText="0"/>
    </xf>
    <xf borderId="0" fillId="4" fontId="15" numFmtId="168" xfId="0" applyAlignment="1" applyFill="1" applyFont="1" applyNumberFormat="1">
      <alignment readingOrder="0" vertical="center"/>
    </xf>
    <xf borderId="2" fillId="0" fontId="11" numFmtId="0" xfId="0" applyAlignment="1" applyBorder="1" applyFont="1">
      <alignment vertical="center"/>
    </xf>
    <xf borderId="0" fillId="4" fontId="11" numFmtId="167" xfId="0" applyAlignment="1" applyFill="1" applyFont="1" applyNumberFormat="1">
      <alignment horizontal="center" vertical="center"/>
    </xf>
    <xf borderId="0" fillId="4" fontId="11" numFmtId="168" xfId="0" applyAlignment="1" applyFill="1" applyFont="1" applyNumberFormat="1">
      <alignment vertical="center"/>
    </xf>
    <xf borderId="3" fillId="0" fontId="9" numFmtId="165" xfId="0" applyAlignment="1" applyBorder="1" applyFont="1" applyNumberFormat="1">
      <alignment vertical="center"/>
    </xf>
    <xf borderId="2" fillId="5" fontId="13" numFmtId="0" xfId="0" applyAlignment="1" applyBorder="1" applyFill="1" applyFont="1">
      <alignment readingOrder="0"/>
    </xf>
    <xf borderId="3" fillId="0" fontId="9" numFmtId="165" xfId="0" applyAlignment="1" applyBorder="1" applyFont="1" applyNumberFormat="1">
      <alignment vertical="center"/>
    </xf>
    <xf borderId="0" fillId="0" fontId="16" numFmtId="0" xfId="0" applyAlignment="1" applyFont="1">
      <alignment readingOrder="0" vertical="center"/>
    </xf>
    <xf borderId="6" fillId="0" fontId="9" numFmtId="165" xfId="0" applyAlignment="1" applyBorder="1" applyFont="1" applyNumberFormat="1">
      <alignment vertical="center"/>
    </xf>
    <xf borderId="0" fillId="0" fontId="16" numFmtId="165" xfId="0" applyAlignment="1" applyFont="1" applyNumberFormat="1">
      <alignment vertical="center"/>
    </xf>
    <xf borderId="2" fillId="0" fontId="11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readingOrder="0" vertical="center"/>
    </xf>
    <xf borderId="0" fillId="0" fontId="9" numFmtId="165" xfId="0" applyAlignment="1" applyFont="1" applyNumberFormat="1">
      <alignment vertical="center"/>
    </xf>
    <xf borderId="2" fillId="2" fontId="12" numFmtId="0" xfId="0" applyAlignment="1" applyBorder="1" applyFill="1" applyFont="1">
      <alignment horizontal="center" shrinkToFit="0" vertical="center" wrapText="0"/>
    </xf>
    <xf borderId="2" fillId="3" fontId="13" numFmtId="49" xfId="0" applyAlignment="1" applyBorder="1" applyFill="1" applyFont="1" applyNumberFormat="1">
      <alignment shrinkToFit="0" vertical="center" wrapText="0"/>
    </xf>
    <xf borderId="2" fillId="3" fontId="13" numFmtId="0" xfId="0" applyAlignment="1" applyBorder="1" applyFill="1" applyFont="1">
      <alignment readingOrder="0" shrinkToFit="0" vertical="center" wrapText="0"/>
    </xf>
    <xf borderId="2" fillId="3" fontId="13" numFmtId="169" xfId="0" applyAlignment="1" applyBorder="1" applyFill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3" fontId="13" numFmtId="49" xfId="0" applyAlignment="1" applyBorder="1" applyFill="1" applyFont="1" applyNumberFormat="1">
      <alignment readingOrder="0" shrinkToFit="0" vertical="center" wrapText="0"/>
    </xf>
    <xf borderId="0" fillId="0" fontId="19" numFmtId="0" xfId="0" applyAlignment="1" applyFont="1">
      <alignment readingOrder="0" vertical="center"/>
    </xf>
    <xf borderId="2" fillId="3" fontId="13" numFmtId="0" xfId="0" applyAlignment="1" applyBorder="1" applyFill="1" applyFont="1">
      <alignment shrinkToFit="0" vertical="center" wrapText="0"/>
    </xf>
    <xf borderId="2" fillId="3" fontId="13" numFmtId="169" xfId="0" applyAlignment="1" applyBorder="1" applyFill="1" applyFont="1" applyNumberFormat="1">
      <alignment shrinkToFit="0" vertical="center" wrapText="0"/>
    </xf>
    <xf borderId="0" fillId="0" fontId="19" numFmtId="0" xfId="0" applyAlignment="1" applyFont="1">
      <alignment vertical="center"/>
    </xf>
    <xf borderId="0" fillId="0" fontId="20" numFmtId="0" xfId="0" applyAlignment="1" applyFon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2" fillId="2" fontId="12" numFmtId="0" xfId="0" applyAlignment="1" applyBorder="1" applyFill="1" applyFont="1">
      <alignment readingOrder="0" shrinkToFit="0" vertical="center" wrapText="0"/>
    </xf>
    <xf borderId="2" fillId="3" fontId="21" numFmtId="165" xfId="0" applyAlignment="1" applyBorder="1" applyFill="1" applyFont="1" applyNumberFormat="1">
      <alignment horizontal="right" readingOrder="0" shrinkToFit="0" vertical="center" wrapText="0"/>
    </xf>
    <xf borderId="2" fillId="3" fontId="21" numFmtId="0" xfId="0" applyAlignment="1" applyBorder="1" applyFill="1" applyFont="1">
      <alignment shrinkToFit="0" vertical="center" wrapText="0"/>
    </xf>
    <xf borderId="2" fillId="3" fontId="21" numFmtId="0" xfId="0" applyAlignment="1" applyBorder="1" applyFill="1" applyFont="1">
      <alignment readingOrder="0" shrinkToFit="0" vertical="center" wrapText="0"/>
    </xf>
    <xf borderId="2" fillId="7" fontId="20" numFmtId="0" xfId="0" applyAlignment="1" applyBorder="1" applyFill="1" applyFont="1">
      <alignment readingOrder="0" shrinkToFit="0" vertical="center" wrapText="0"/>
    </xf>
    <xf borderId="2" fillId="7" fontId="21" numFmtId="0" xfId="0" applyAlignment="1" applyBorder="1" applyFill="1" applyFont="1">
      <alignment shrinkToFit="0" vertical="center" wrapText="0"/>
    </xf>
    <xf borderId="2" fillId="7" fontId="20" numFmtId="165" xfId="0" applyAlignment="1" applyBorder="1" applyFill="1" applyFont="1" applyNumberFormat="1">
      <alignment horizontal="right" readingOrder="0" shrinkToFit="0" vertical="center" wrapText="0"/>
    </xf>
    <xf borderId="2" fillId="0" fontId="22" numFmtId="0" xfId="0" applyAlignment="1" applyBorder="1" applyFont="1">
      <alignment shrinkToFit="0" vertical="center" wrapText="0"/>
    </xf>
    <xf borderId="2" fillId="3" fontId="6" numFmtId="170" xfId="0" applyAlignment="1" applyBorder="1" applyFill="1" applyFont="1" applyNumberFormat="1">
      <alignment readingOrder="0" shrinkToFit="0" vertical="bottom" wrapText="0"/>
    </xf>
    <xf borderId="2" fillId="3" fontId="6" numFmtId="165" xfId="0" applyAlignment="1" applyBorder="1" applyFill="1" applyFont="1" applyNumberFormat="1">
      <alignment shrinkToFit="0" vertical="bottom" wrapText="0"/>
    </xf>
    <xf borderId="2" fillId="3" fontId="6" numFmtId="165" xfId="0" applyAlignment="1" applyBorder="1" applyFill="1" applyFont="1" applyNumberFormat="1">
      <alignment readingOrder="0" shrinkToFit="0" vertical="bottom" wrapText="0"/>
    </xf>
    <xf borderId="2" fillId="8" fontId="5" numFmtId="165" xfId="0" applyAlignment="1" applyBorder="1" applyFill="1" applyFont="1" applyNumberFormat="1">
      <alignment shrinkToFit="0" vertical="bottom" wrapText="0"/>
    </xf>
    <xf borderId="2" fillId="8" fontId="5" numFmtId="169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8" fontId="13" numFmtId="169" xfId="0" applyAlignment="1" applyBorder="1" applyFill="1" applyFont="1" applyNumberFormat="1">
      <alignment shrinkToFit="0" vertical="bottom" wrapText="0"/>
    </xf>
    <xf borderId="2" fillId="0" fontId="23" numFmtId="0" xfId="0" applyAlignment="1" applyBorder="1" applyFont="1">
      <alignment readingOrder="0" shrinkToFit="0" vertical="center" wrapText="1"/>
    </xf>
    <xf borderId="7" fillId="0" fontId="15" numFmtId="164" xfId="0" applyAlignment="1" applyBorder="1" applyFont="1" applyNumberFormat="1">
      <alignment horizontal="center" readingOrder="0" vertical="center"/>
    </xf>
    <xf borderId="7" fillId="0" fontId="15" numFmtId="0" xfId="0" applyAlignment="1" applyBorder="1" applyFont="1">
      <alignment readingOrder="0" vertical="center"/>
    </xf>
    <xf borderId="7" fillId="0" fontId="15" numFmtId="165" xfId="0" applyAlignment="1" applyBorder="1" applyFont="1" applyNumberFormat="1">
      <alignment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165" xfId="0" applyAlignment="1" applyFont="1" applyNumberFormat="1">
      <alignment readingOrder="0" vertical="center"/>
    </xf>
    <xf borderId="7" fillId="0" fontId="24" numFmtId="164" xfId="0" applyAlignment="1" applyBorder="1" applyFont="1" applyNumberFormat="1">
      <alignment horizontal="center" readingOrder="0" vertical="center"/>
    </xf>
    <xf borderId="7" fillId="0" fontId="24" numFmtId="0" xfId="0" applyAlignment="1" applyBorder="1" applyFont="1">
      <alignment readingOrder="0" vertical="center"/>
    </xf>
    <xf borderId="7" fillId="0" fontId="24" numFmtId="165" xfId="0" applyAlignment="1" applyBorder="1" applyFont="1" applyNumberFormat="1">
      <alignment readingOrder="0" vertical="center"/>
    </xf>
    <xf borderId="7" fillId="9" fontId="25" numFmtId="164" xfId="0" applyAlignment="1" applyBorder="1" applyFill="1" applyFont="1" applyNumberFormat="1">
      <alignment readingOrder="0" vertical="top"/>
    </xf>
    <xf borderId="0" fillId="0" fontId="20" numFmtId="0" xfId="0" applyAlignment="1" applyFont="1">
      <alignment shrinkToFit="0" vertical="center" wrapText="0"/>
    </xf>
    <xf borderId="7" fillId="0" fontId="26" numFmtId="0" xfId="0" applyAlignment="1" applyBorder="1" applyFont="1">
      <alignment readingOrder="0" vertical="top"/>
    </xf>
    <xf borderId="7" fillId="0" fontId="26" numFmtId="165" xfId="0" applyAlignment="1" applyBorder="1" applyFont="1" applyNumberFormat="1">
      <alignment readingOrder="0" vertical="top"/>
    </xf>
    <xf borderId="0" fillId="0" fontId="27" numFmtId="0" xfId="0" applyAlignment="1" applyFont="1">
      <alignment shrinkToFit="0" vertical="center" wrapText="0"/>
    </xf>
    <xf borderId="3" fillId="2" fontId="12" numFmtId="0" xfId="0" applyAlignment="1" applyBorder="1" applyFill="1" applyFont="1">
      <alignment horizontal="center" shrinkToFit="0" vertical="center" wrapText="0"/>
    </xf>
    <xf borderId="3" fillId="2" fontId="12" numFmtId="0" xfId="0" applyAlignment="1" applyBorder="1" applyFill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vertical="center"/>
    </xf>
    <xf borderId="3" fillId="0" fontId="13" numFmtId="0" xfId="0" applyAlignment="1" applyBorder="1" applyFont="1">
      <alignment shrinkToFit="0" vertical="center" wrapText="0"/>
    </xf>
    <xf borderId="3" fillId="8" fontId="13" numFmtId="169" xfId="0" applyAlignment="1" applyBorder="1" applyFill="1" applyFont="1" applyNumberForma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0" fontId="13" numFmtId="169" xfId="0" applyAlignment="1" applyFont="1" applyNumberFormat="1">
      <alignment shrinkToFit="0" vertical="center" wrapText="0"/>
    </xf>
    <xf borderId="3" fillId="0" fontId="20" numFmtId="0" xfId="0" applyAlignment="1" applyBorder="1" applyFont="1">
      <alignment shrinkToFit="0" vertical="center" wrapText="0"/>
    </xf>
    <xf borderId="3" fillId="7" fontId="20" numFmtId="169" xfId="0" applyAlignment="1" applyBorder="1" applyFill="1" applyFont="1" applyNumberFormat="1">
      <alignment shrinkToFit="0" vertical="center" wrapText="0"/>
    </xf>
    <xf borderId="3" fillId="0" fontId="20" numFmtId="0" xfId="0" applyAlignment="1" applyBorder="1" applyFont="1">
      <alignment readingOrder="0" shrinkToFit="0" vertical="center" wrapText="0"/>
    </xf>
    <xf borderId="3" fillId="0" fontId="13" numFmtId="0" xfId="0" applyAlignment="1" applyBorder="1" applyFont="1">
      <alignment readingOrder="0" shrinkToFit="0" vertical="center" wrapText="0"/>
    </xf>
    <xf borderId="0" fillId="0" fontId="20" numFmtId="0" xfId="0" applyAlignment="1" applyFont="1">
      <alignment readingOrder="0" shrinkToFit="0" vertical="bottom" wrapText="0"/>
    </xf>
    <xf borderId="0" fillId="0" fontId="19" numFmtId="0" xfId="0" applyFont="1"/>
    <xf borderId="0" fillId="0" fontId="27" numFmtId="0" xfId="0" applyAlignment="1" applyFont="1">
      <alignment shrinkToFit="0" vertical="bottom" wrapText="0"/>
    </xf>
    <xf borderId="2" fillId="2" fontId="12" numFmtId="0" xfId="0" applyAlignment="1" applyBorder="1" applyFill="1" applyFont="1">
      <alignment horizontal="center" readingOrder="0" shrinkToFit="0" vertical="center" wrapText="0"/>
    </xf>
    <xf borderId="2" fillId="0" fontId="13" numFmtId="0" xfId="0" applyAlignment="1" applyBorder="1" applyFont="1">
      <alignment shrinkToFit="0" vertical="bottom" wrapText="0"/>
    </xf>
    <xf borderId="2" fillId="0" fontId="13" numFmtId="10" xfId="0" applyAlignment="1" applyBorder="1" applyFont="1" applyNumberFormat="1">
      <alignment shrinkToFit="0" vertical="bottom" wrapText="0"/>
    </xf>
    <xf borderId="2" fillId="8" fontId="13" numFmtId="169" xfId="0" applyAlignment="1" applyBorder="1" applyFill="1" applyFont="1" applyNumberFormat="1">
      <alignment readingOrder="0" shrinkToFit="0" vertical="bottom" wrapText="0"/>
    </xf>
    <xf borderId="2" fillId="7" fontId="20" numFmtId="0" xfId="0" applyAlignment="1" applyBorder="1" applyFill="1" applyFont="1">
      <alignment shrinkToFit="0" vertical="bottom" wrapText="0"/>
    </xf>
    <xf borderId="2" fillId="7" fontId="20" numFmtId="169" xfId="0" applyAlignment="1" applyBorder="1" applyFill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A6939"/>
          <bgColor rgb="FF3A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red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gadeesan Balakrishnan" id="{b0b7f3d8-bcc0-4f2f-a558-027133d74728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78" sheet="Debit"/>
  </cacheSource>
  <cacheFields>
    <cacheField name="Date" numFmtId="164">
      <sharedItems containsDate="1" containsString="0" containsBlank="1">
        <d v="2026-04-01T00:00:00Z"/>
        <d v="2026-04-03T00:00:00Z"/>
        <d v="2026-04-06T00:00:00Z"/>
        <d v="2026-04-07T00:00:00Z"/>
        <d v="2026-04-10T00:00:00Z"/>
        <d v="2026-04-14T00:00:00Z"/>
        <d v="2026-04-16T00:00:00Z"/>
        <d v="2026-04-18T00:00:00Z"/>
        <d v="2026-04-21T00:00:00Z"/>
        <d v="2026-04-24T00:00:00Z"/>
        <d v="2026-04-25T00:00:00Z"/>
        <d v="2026-04-28T00:00:00Z"/>
        <d v="2026-04-30T00:00:00Z"/>
        <d v="2026-05-02T00:00:00Z"/>
        <d v="2026-05-03T00:00:00Z"/>
        <d v="2026-05-05T00:00:00Z"/>
        <d v="2026-05-06T00:00:00Z"/>
        <d v="2026-05-07T00:00:00Z"/>
        <d v="2026-05-08T00:00:00Z"/>
        <d v="2026-05-09T00:00:00Z"/>
        <d v="2026-05-12T00:00:00Z"/>
        <d v="2026-05-15T00:00:00Z"/>
        <d v="2026-05-16T00:00:00Z"/>
        <d v="2026-05-20T00:00:00Z"/>
        <d v="2026-05-21T00:00:00Z"/>
        <d v="2026-05-22T00:00:00Z"/>
        <d v="2026-05-23T00:00:00Z"/>
        <d v="2026-05-25T00:00:00Z"/>
        <d v="2026-05-30T00:00:00Z"/>
        <d v="2026-05-3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  <d v="2026-07-23T00:00:00Z"/>
        <d v="2026-07-25T00:00:00Z"/>
        <d v="2026-07-27T00:00:00Z"/>
        <d v="2026-07-29T00:00:00Z"/>
        <d v="2026-07-30T00:00:00Z"/>
        <d v="2026-07-31T00:00:00Z"/>
        <d v="2026-08-01T00:00:00Z"/>
        <d v="2026-08-02T00:00:00Z"/>
        <d v="2026-08-05T00:00:00Z"/>
        <d v="2026-08-03T00:00:00Z"/>
        <d v="2026-08-08T00:00:00Z"/>
        <d v="2026-08-06T00:00:00Z"/>
        <d v="2026-08-04T00:00:00Z"/>
        <d v="2026-08-07T00:00:00Z"/>
        <d v="2026-08-10T00:00:00Z"/>
        <d v="2026-08-15T00:00:00Z"/>
        <d v="2026-08-12T00:00:00Z"/>
        <d v="2026-08-14T00:00:00Z"/>
        <d v="2026-08-19T00:00:00Z"/>
        <d v="2026-08-20T00:00:00Z"/>
        <d v="2026-08-21T00:00:00Z"/>
        <d v="2026-08-22T00:00:00Z"/>
        <d v="2026-08-18T00:00:00Z"/>
        <m/>
      </sharedItems>
    </cacheField>
    <cacheField name="Cost Center" numFmtId="0">
      <sharedItems containsBlank="1">
        <s v="Chips Unit"/>
        <s v="Washing Unit"/>
        <s v="Fibre Unit"/>
        <m/>
      </sharedItems>
    </cacheField>
    <cacheField name="Type" numFmtId="0">
      <sharedItems containsBlank="1">
        <s v="Expense"/>
        <s v="Raw Materials"/>
        <s v="Transfer Fund"/>
        <m/>
      </sharedItems>
    </cacheField>
    <cacheField name="Account" numFmtId="0">
      <sharedItems containsBlank="1">
        <s v="Bank Interest"/>
        <s v="Administration Expense"/>
        <s v="Building"/>
        <s v="Land"/>
        <s v="Printing and Stationery"/>
        <s v="Electricity Bills"/>
        <s v="Repairs and Maintenance"/>
        <s v="Materials"/>
        <s v="Labor"/>
        <s v="Transportation Expense"/>
        <s v="Bank Fees and Charges"/>
        <s v="Employee Salaries"/>
        <s v="Meals and Entertainment"/>
        <s v="Electrical Expenses"/>
        <s v="Construction Expense"/>
        <s v="Raw Materials"/>
        <s v="Employee Salaries - Loaders"/>
        <s v="IT and Internet Expenses"/>
        <s v="Vehicles"/>
        <s v="Labor Maintenance"/>
        <s v="Transfer Fund"/>
        <s v="Travel Expense"/>
        <s v="Fuel Expense"/>
        <s v="Employee Salaries - Baler"/>
        <m/>
      </sharedItems>
    </cacheField>
    <cacheField name="Paid Through" numFmtId="0">
      <sharedItems containsBlank="1">
        <s v="Payable to Alam"/>
        <s v="Shareholder - Jagadeshwaran"/>
        <s v="Shareholder - Jagadeesan"/>
        <s v="Union Bank - CC"/>
        <s v="Shareholder - Vellingiri"/>
        <s v="Vikas"/>
        <s v="Union Bank - Term Loan"/>
        <s v="Union Bank - Current"/>
        <m/>
      </sharedItems>
    </cacheField>
    <cacheField name="Description" numFmtId="0">
      <sharedItems containsBlank="1">
        <s v="one third of March interest as shared"/>
        <s v="documentation"/>
        <s v="IMPSAR/609612463859/M Arun/xxxxxxxxxxxx8656&#10; Hollow blocks - 300 nos."/>
        <s v="EC and CC online copies"/>
        <s v="CC of parent docs + EC prints for legal"/>
        <s v="one third of March eb blil as shared"/>
        <s v="expenses incurred since the shareholding agreement (refer the xl sheet)"/>
        <s v="4&quot; cutting wheel - 100 nos. , golden bullet , orient hardwares"/>
        <s v="welding rod - 3 nos."/>
        <s v="from 13- apr till 18-apr: 3240 - welder; 860 - santhosh; 350 - radha"/>
        <s v="20 nos. of 1&quot; shaft for coco chips"/>
        <s v="P208 - 1.5 inches - 12 nos., gpay - Rs. 3,700 &amp; Rs. 200"/>
        <s v="P205 - 1&quot; - 25 nos., gpay"/>
        <s v="Chips Materials"/>
        <s v="Negamam Release Deed CC, Kinathukadavu CC , prints"/>
        <s v="12050 - mason work wages + 4020 - cement 12 bags"/>
        <s v="earth rod"/>
        <s v="eb bill"/>
        <s v="xxxxxxxxxxx0045:N Int.:31-03-2026 to 29-04-2026"/>
        <s v="ideal bearings, gpay"/>
        <s v="srs agro"/>
        <s v="transportation (porter?) for motor delivery"/>
        <s v="weekly salary for chips"/>
        <s v="chemical for earthing"/>
        <s v="bought by welder, gpay"/>
        <s v="bolt nuts - welder purchase, gpay to srs agro"/>
        <s v="Ms angle .. sakthi mariamman #520"/>
        <s v="6 months cibil subscription for hexagro, paid from credit card"/>
        <s v="Paint &amp; welding rod , gpay to srs agro"/>
        <s v="Ms angle .. sakthi mariamman #625"/>
        <s v="Lathe work"/>
        <s v="weekly salary for chips unit"/>
        <s v="plywood for chips unit"/>
        <s v="New Limit 5000000&#10; CC processing charges"/>
        <s v="plywood transportation, paid by yuvaraj gpay"/>
        <s v="gpay to tata ace mahalingam for chips Materials transportation"/>
        <s v="Kinathukadavu CC of 1955 document"/>
        <s v="gearboxes - 4 - from ganapathy, cbe location"/>
        <s v="Processing charges"/>
        <s v="Surveyor 7k + food"/>
        <s v="cash withdrawal charges"/>
        <s v="cutting wheel, welding rod"/>
        <s v="snacks for staff"/>
        <s v="Rithvik pipes bill PVC pipe, bend, coupler, solvent"/>
        <s v="thinner, wood cutter, etc."/>
        <s v="pulley, etc."/>
        <s v="motors - 1.54 L, rollers - 35K, wirenet - 8.5K, RAI - 16.5K, belt - 50K"/>
        <s v="pulleys and accessories from pollachi, gpay"/>
        <s v="angle, patta"/>
        <s v="xxxxxxxxxxx0435:Int.Coll:15-05-2026 to 31-05-2026"/>
        <s v="xxxxxxxxxxx0045:N Int.:30-04-2026 to 30-05-2026"/>
        <s v="Belt joint completed : Total 3 joints"/>
        <s v="key rod, drill bit"/>
        <s v="Rithvik pipes bill PVC pipes"/>
        <s v="switch and fuse from raja"/>
        <s v="kannan and sons, gpay"/>
        <s v="weekly salary for chips unit + kattampatti unit, + 675 for radha"/>
        <s v="weekly salary"/>
        <s v="Sakthi Mariamman bill 742, Alam paid"/>
        <s v="₹100 stamp paper for cc ebanking, gpay"/>
        <s v="eTXN/To:xxxxxxxxxxx2077/naveen electricals"/>
        <s v="srs veegrip belt b-76, gpay"/>
        <m/>
        <s v="IMPSAR/616123426319/Subramaniam Pal/xxxxxxxxxx2237&#10; Jcb for 10 hrs + batta"/>
        <s v="2 stamps for hexagro - one for seal and one round seal, gpay"/>
        <s v="AIF Application commission, Gpay"/>
        <s v="electricity bill"/>
        <s v="20% of the eb bill"/>
        <s v="weekly salary&#10; &#10;&#10; chips unit - ₹33,869&#10; check attendance sheet"/>
        <s v="To Sudhakar for markings of bunker"/>
        <s v="sakthi mariamman bill #1393"/>
        <s v="For Vellingiri msand/jalli"/>
        <s v="Vellingiri Senthilkumar"/>
        <s v="Vetrivel Murugan"/>
        <s v="Naveen electricals"/>
        <s v="NEFTO-R VELLIANGIRI 002807920169&#10; For jalli ?"/>
        <s v="from 01/04/2026 till 20/06/2026&#10; refer attachment"/>
        <s v="weekly salary&#10; &#10;&#10; chips unit labor - ₹34,376&#10; chips unit labor pickup drop - ₹3,000&#10; &#10;&#10; check attendance sheet"/>
        <s v="Radha"/>
        <s v="welding rod, box, socket, etc. - srs"/>
        <s v="ePAY/To:TECHPROCESS/701537438/zoho books"/>
        <s v="Pre-Jun fibre expenses (Alam 66.66%; Vikas reconciled)"/>
        <s v="rice for hexagro labor&#10; gpay"/>
        <s v="Karamadai Broker"/>
        <s v="Charges for PORD Customer Payment:UBINJ26174534891"/>
        <s v="Charges for PORD Customer Payment:UBINJ26174531819"/>
        <s v="NEFTO-M SUDHAKAR 002816173929"/>
        <s v="NEFTO-VELLIANGIRI 002816407031"/>
        <s v="eicher vehicle emi - for apr 2026"/>
        <s v="eicher vehicle emi - for may 2026"/>
        <s v="eicher vehicle emi - for jun 2026"/>
        <s v="AG Coir"/>
        <s v="Charges for PORD Customer Payment:UBINJ26175990026"/>
        <s v="Charges for PORD Customer Payment:UBINK26175017859"/>
        <s v="Sevur Broker"/>
        <s v="Rhythm Fibre (For majestic cocos)"/>
        <s v="Gpay&#10; Mesh net"/>
        <s v="7.5 loads of msand from alam to hexagro2&#10; ₹5,000 per load"/>
        <s v="Gpay to Radha for weigh bridge"/>
        <s v="weekly salary&#10; &#10;&#10; 120kg labor - ₹4,508&#10; check attendance sheet"/>
        <s v="weekly salary&#10; check attendance sheet , also attached"/>
        <s v="for subramaniam jcb hexagro2"/>
        <s v="DOC V ETTING CHRGS FOR 501-60435"/>
        <s v="Super Fine Coirs (Fibre)"/>
        <s v="Legal - Online EC&#10; Cash to A Sundarraj Pollachi&#10; All documents print"/>
        <s v="xxxxxxxxxxx0435:Int.Coll:01-06-2026 to 30-06-2026"/>
        <s v="certified copy"/>
        <s v="Periyanaickenpalayam Broker (Green Husk)"/>
        <s v="xxxxxxxxxxx0045:N Int. Jun month"/>
        <s v="gas cylinder for hexagro2 staff"/>
        <s v="Loan Recovery From : xxxxxxxxxxx0435"/>
        <s v="tiles for house"/>
        <s v="Radha: 30/6 to 3/6 "/>
        <s v="building tiles labor advance"/>
        <s v="nuts and bolts"/>
        <s v="Legal - Advance (balance ₹4,000)&#10; Cash to A Sundarraj Pollachi&#10; + 2 stamp papers"/>
        <s v="NEFTO-DK DISTRIBUTOR 002839456524&#10; cement"/>
        <s v="NEFTO-SUBRAMANIAM 002838793202&#10; Jcb"/>
        <s v="rajini mason 50K&#10; balance 10K"/>
        <s v="check https://docs.google.com/spreadsheets/d/1U4tnouc8aWLVD1l3gCB0oCSp4B3DZ8895vxeOrqx2qU/edit?usp=sharing for details"/>
        <s v="yuvaraj expenses (from alam funds) for chips unit"/>
        <s v="6 trips for alam to hexagro labor"/>
        <s v="1 bag cement, alam to chips unit"/>
        <s v="weekly salary&#10; check https://docs.google.com/spreadsheets/d/1U4tnouc8aWLVD1l3gCB0oCSp4B3DZ8895vxeOrqx2qU/edit?usp=sharing for details"/>
        <s v="borewell point identification diviner&#10; gpay"/>
        <s v="RAI hardware&#10; UCP 205 BBZ, Bottom shaft 36&quot;"/>
        <s v="balance legal opinion fees&#10; gpay"/>
        <s v="tiles labor balance&#10; gpay"/>
        <s v="Only Coconuts Jallipatti"/>
        <s v="yuvaraj expenses (from alam funds) for kattampatti unit"/>
        <s v="alam to hexagro2:&#10; cement - 20 + 30 bags&#10; + 1/2 3/4 jalli 1 unit"/>
        <s v="NEFTO-YUVARAJ E 002849379971&#10; Yuvaraj -- Jun salary"/>
        <s v="eicher vehicle emi"/>
        <s v="gpay for valuer"/>
        <s v="alam to hexagro2:&#10; cement - 20 + 45 bags"/>
        <s v="chips motor coupler"/>
        <s v="p206&#10; RAI hardware pollachi"/>
        <s v="chips unit roller&#10; conveyor belt&#10; alpha traders&#10; transport and fuel"/>
        <s v="welding rod - 2 nos&#10; cutting wheel - 15 nos"/>
        <s v="₹10,884 -- refer the &quot;weekly staff attendance tracker&quot; google spreadsheet for the breakdown&#10;&#10; + ₹1,718 -- radha labor"/>
        <s v="₹20,653-- refer the &quot;weekly staff attendance tracker&quot; google spreadsheet for the breakdown&#10; + ₹240 -- radha labor"/>
        <s v="₹1,761-- refer the &quot;weekly staff attendance tracker&quot; google spreadsheet for the breakdown..&#10; + ₹200 -- radha labor"/>
        <s v="calculator"/>
        <s v="rajini mason 100K&#10; balance 53k?"/>
        <s v="legal extra fees (to include the non-agri certificate)&#10; gpay"/>
        <s v="karthi petrol for pollachi legal office and union bank visit"/>
        <s v="chips belt joint 2 nos"/>
        <s v="for mca portal to download the CHG1 form"/>
        <s v="Charges for PORD Customer Payment:UBINJ26194099683"/>
        <s v="PKS Coir Enterprises"/>
        <s v="gpay for valuer (balance)&#10; valuation&#10; total ₹15,000"/>
        <s v="Charges for PORD Customer Payment:UBINK26196017707"/>
        <s v="Charges for PORD Customer Payment:UBINK26196014616"/>
        <s v="Jcb SUBRAMANIAM PALANISAMY 002860463763"/>
        <s v="Alam funds in CA"/>
        <s v="Charges for PORD Customer Payment:UBINJ26197769128"/>
        <s v="diesel"/>
        <s v="EB bill&#10; 50% here and 50% for chips"/>
        <s v="project valuer fees"/>
        <s v="₹8,149-- refer the &quot;weekly staff attendance tracker&quot; google spreadsheet for the breakdown&#10; &#10; + ₹2,312 -- radha labor"/>
        <s v="₹7,445-- refer the &quot;weekly staff attendance tracker&quot; google spreadsheet for the breakdown"/>
        <s v="refer the &quot;weekly staff attendance tracker&quot; google spreadsheet for the breakdown"/>
        <s v="crane for foklift - nanbargal"/>
        <s v="forklift MP labor contract weekly salary&#10; gpay"/>
        <s v="Rajini balance&#10; ₹2,170 balance"/>
        <s v="rajini for 120kg work"/>
        <s v="GST penalty for historic issue"/>
        <s v="forklift diesel&#10; gpay to yuvaraj"/>
        <s v="Charges for PORD Customer Payment:UBINK26201056108"/>
        <s v="Charges for PORD Customer Payment:UBINK26201049247"/>
        <s v="DK DISTRIBUTOR"/>
        <s v="NESL FEE/xxxxxxxxxxx0435 NEW ACCOUNT MAY26"/>
        <s v="TO NAVEEN ELECTRICALS"/>
        <s v="₹500 for weigh bridge&#10; radha, gpay"/>
        <s v="NEFTO-DK DISTRIBUTOR 002891261749"/>
        <s v="ANGEL TRADERS"/>
        <s v="TO CA"/>
        <s v="MP labor weekly payment"/>
        <s v="sri palani andavar tractor works&#10; suresh solapalayam&#10; hitech loader"/>
        <s v="₹11,584- refer the &quot;weekly staff attendance tracker&quot; google spreadsheet for the breakdown&#10; &#10;&#10; excl. the MP labor that is paid and considered separately. this is only alam paid expense."/>
        <s v="diesel&#10; gpay"/>
        <s v="attachment&#10; + ₹100 for baler for petrol and tea"/>
        <s v="ad blue oil&#10; gpay"/>
        <s v="Lorrystop &#10; gpay"/>
        <s v="fibre vehicle extension&#10; 2 times gpay.- ₹4780 + ₹170"/>
        <s v="radha weigh bridge&#10; advance"/>
        <s v="120 diesel &#10; phonepe to yuvaraj dated 22/7/26"/>
        <s v="cylinder for labor&#10; phonepe on 23/7/26"/>
        <s v="claude code monthly subscription. &#10; quite useful for bank docs, quotes, excel automation, data maintenance, etc.&#10; &#10;&#10; this is actually for Jul 1st, 2026"/>
        <s v="vehicle tyre"/>
        <s v="Thiru&#10; last yr (2025) quote (incl gst) is attached.&#10; this yr for new loan, sent ₹12,000 and balance to be settled afterwards.&#10; &#10;&#10; details in WA to Thiru (personal)"/>
        <s v="Pugazh Cocos"/>
        <s v="Loan Recovery From : xxxxxxxxxxx2381"/>
        <s v="hexagrofibre.com domain renewnal"/>
        <s v="Charges for PORD Customer Payment:UBINJ26212115352"/>
        <s v="xxxxxxxxxxx0435:Int.Coll:01-07-2026 to 31-07-2026"/>
        <s v="xxxxxxxxxxx0045:N Int.:30-06-2026 to 30-07-2026"/>
        <s v="radha&#10; weigh bridge"/>
        <s v="Charges for PORD Customer Payment:UBINJ26213943303"/>
        <s v="Charges for PORD Customer Payment:UBINH26213991001"/>
        <s v="new mahindra vehicle"/>
        <s v="claude code monthly subscription. &#10; quite useful for bank docs, quotes, excel automation, data maintenance, etc."/>
        <s v="gearbox - 1"/>
        <s v="bowser diesel&#10; sri ram enterprisess"/>
        <s v="weigh bridge &amp; tea"/>
        <s v="date 16/07&#10; labor materials&#10; paid by yuvaraj gpay"/>
        <s v="cylinders for 120 labors + ₹1000 for fuel&#10; date: 16/07"/>
        <s v="maligai&#10; paid by yuvaraj&#10; date: 18/07"/>
        <s v="plywood, paid by yuva gpay&#10; 18/07"/>
        <s v="Charges for PORD Customer Payment:UBINK26218016305"/>
        <s v="Charges for PORD Customer Payment:UBINJ26217107416"/>
        <s v="Charges for PORD Customer Payment:UBINH26218337962"/>
        <s v="Charges for PORD Customer Payment:UBINK26218013409"/>
        <s v="Chellam Lathe Works"/>
        <s v="ORIENT CONSTRUCTION EQUIPMENTS AND ENGINEERING"/>
        <s v="Loan Account Payments For : xxxxxxxxxxx0045"/>
        <s v="internal transfer&#10; actual is 3,39,475 but the 39,475 belongs to pugazh cocos who also has acct in union bank"/>
        <s v="ORIENT CONSTRUCTION EQUIPMENTS AND ENGINEERING (actual pay date: 21/5)"/>
        <s v="Jio camera recharge&#10; phonepe"/>
        <s v="cement for 120kg ramp construction&#10; phonepe to selva nayaki traders"/>
        <s v="kayiru"/>
        <s v="weigh bridge&#10; actual pay date: 04/08"/>
        <s v="weigh bridge &amp; tea - 4 trips&#10; phonepe"/>
        <s v="attached the list of expenses by Vellingiri&#10; exclude ₹4,186 (channels) which is for chips unit"/>
        <s v="channel (last item in the attached list)"/>
        <s v="EB bill&#10; 70% fibre and 30% for chips"/>
        <s v="yuvaraj expenses - paint, brush, petrol"/>
        <s v="yuvaraj expenses - level tube, chalk, tape, petrol"/>
        <s v="yuvaraj expenses - petrol"/>
        <s v="new labor Ram travel expense&#10; phonepe"/>
        <s v="Tarpaulin for vehicle"/>
        <s v="pvc pipe"/>
        <s v="ram and other hindi labor transportation phonepe (3k + 2k)"/>
        <s v="prints and photos for MOD"/>
        <s v="CA Thiru balance fees for MOD docs"/>
        <s v="yuvaraj fibre advance for weekly expense"/>
        <s v="Charges for PORD Customer Payment:UBINK26233073078"/>
        <s v="Vinothkumar Kinathukadavu"/>
      </sharedItems>
    </cacheField>
    <cacheField name="Total Amount (₹)" numFmtId="165">
      <sharedItems containsString="0" containsBlank="1" containsNumber="1">
        <n v="29126.0"/>
        <n v="500.0"/>
        <n v="13200.0"/>
        <n v="3427.0"/>
        <n v="230.0"/>
        <n v="7992.0"/>
        <n v="17000.0"/>
        <n v="1168.0"/>
        <n v="991.0"/>
        <n v="4450.0"/>
        <n v="5414.0"/>
        <n v="3900.0"/>
        <n v="3500.0"/>
        <n v="3428.0"/>
        <n v="4100.0"/>
        <n v="16070.0"/>
        <n v="3422.0"/>
        <n v="536.0"/>
        <n v="84608.0"/>
        <n v="4484.0"/>
        <n v="600.0"/>
        <n v="1700.0"/>
        <n v="8715.0"/>
        <n v="708.0"/>
        <n v="571.0"/>
        <n v="320.0"/>
        <n v="5330.0"/>
        <n v="6000.0"/>
        <n v="980.0"/>
        <n v="10660.0"/>
        <n v="1250.0"/>
        <n v="8550.0"/>
        <n v="54500.0"/>
        <n v="13014.16"/>
        <n v="4000.0"/>
        <n v="8857.0"/>
        <n v="1500.0"/>
        <n v="1000.0"/>
        <n v="28000.0"/>
        <n v="58.41"/>
        <n v="7994.0"/>
        <n v="2950.0"/>
        <n v="1190.0"/>
        <n v="8980.0"/>
        <n v="150.0"/>
        <n v="66083.0"/>
        <n v="2840.0"/>
        <n v="265431.0"/>
        <n v="3000.0"/>
        <n v="14025.0"/>
        <n v="6545.0"/>
        <n v="7180.0"/>
        <n v="89115.0"/>
        <n v="5840.0"/>
        <n v="53843.0"/>
        <n v="12536.0"/>
        <n v="1430.0"/>
        <n v="1450.0"/>
        <n v="13105.0"/>
        <n v="2615.0"/>
        <n v="48640.0"/>
        <n v="120.0"/>
        <n v="8330.0"/>
        <n v="380.0"/>
        <n v="44.88"/>
        <n v="11600.0"/>
        <n v="850.0"/>
        <n v="31566.0"/>
        <n v="7891.0"/>
        <n v="33869.0"/>
        <n v="9800.0"/>
        <n v="590.0"/>
        <n v="20000.0"/>
        <n v="93753.0"/>
        <n v="43659.0"/>
        <n v="37785.0"/>
        <n v="42174.0"/>
        <n v="10626.0"/>
        <n v="75000.0"/>
        <n v="25000.0"/>
        <n v="319665.0"/>
        <n v="37376.0"/>
        <n v="740.0"/>
        <n v="1247.0"/>
        <n v="10605.84"/>
        <n v="238311.0"/>
        <n v="1600.0"/>
        <n v="16215.0"/>
        <n v="5.61"/>
        <n v="50000.0"/>
        <n v="45000.0"/>
        <n v="38470.0"/>
        <n v="71440.0"/>
        <n v="19915.0"/>
        <n v="59447.0"/>
        <n v="19710.0"/>
        <n v="7400.0"/>
        <n v="37500.0"/>
        <n v="300.0"/>
        <n v="67.29"/>
        <n v="28.0"/>
        <n v="4508.0"/>
        <n v="47790.0"/>
        <n v="12680.0"/>
        <n v="1144.0"/>
        <n v="109322.0"/>
        <n v="1900.0"/>
        <n v="1989.0"/>
        <n v="541.0"/>
        <n v="18250.0"/>
        <n v="87671.0"/>
        <n v="3400.0"/>
        <n v="31100.0"/>
        <n v="2810.0"/>
        <n v="10640.0"/>
        <n v="769.0"/>
        <n v="2240.0"/>
        <n v="41835.0"/>
        <n v="5260.0"/>
        <n v="7031.0"/>
        <n v="2349.0"/>
        <n v="1800.0"/>
        <n v="37819.0"/>
        <n v="2000.0"/>
        <n v="15125.0"/>
        <n v="28.63"/>
        <n v="28453.0"/>
        <n v="5000.0"/>
        <n v="106889.0"/>
        <n v="1290.0"/>
        <n v="18850.0"/>
        <n v="795.0"/>
        <n v="22000.0"/>
        <n v="19175.0"/>
        <n v="2200.0"/>
        <n v="1935.0"/>
        <n v="99415.0"/>
        <n v="1139.0"/>
        <n v="12602.0"/>
        <n v="20893.0"/>
        <n v="1961.0"/>
        <n v="44197.0"/>
        <n v="269.0"/>
        <n v="100000.0"/>
        <n v="4200.0"/>
        <n v="100.0"/>
        <n v="218792.54"/>
        <n v="40000.0"/>
        <n v="13000.0"/>
        <n v="13300.0"/>
        <n v="48009.64"/>
        <n v="13012.0"/>
        <n v="16712.0"/>
        <n v="15000.0"/>
        <n v="10461.0"/>
        <n v="7445.0"/>
        <n v="3135.0"/>
        <n v="3200.0"/>
        <n v="4880.0"/>
        <n v="51550.0"/>
        <n v="18450.0"/>
        <n v="1416.0"/>
        <n v="33500.2"/>
        <n v="389.4"/>
        <n v="56753.0"/>
        <n v="35000.0"/>
        <n v="62540.0"/>
        <n v="48096.3"/>
        <n v="200000.0"/>
        <n v="9120.0"/>
        <n v="6421.0"/>
        <n v="11584.0"/>
        <n v="8488.0"/>
        <n v="18600.0"/>
        <n v="1420.0"/>
        <n v="930.0"/>
        <n v="170.0"/>
        <n v="4950.0"/>
        <n v="800.0"/>
        <n v="1020.0"/>
        <n v="1895.3"/>
        <n v="12000.0"/>
        <n v="40950.0"/>
        <n v="174000.0"/>
        <n v="10614.0"/>
        <n v="90632.0"/>
        <n v="39999.7"/>
        <n v="14730.0"/>
        <n v="12349.0"/>
        <n v="313.0"/>
        <n v="28.91"/>
        <n v="370000.0"/>
        <n v="1909.54"/>
        <n v="15635.0"/>
        <n v="75199.0"/>
        <n v="4096.0"/>
        <n v="7900.0"/>
        <n v="1300.0"/>
        <n v="16476.0"/>
        <n v="8000.0"/>
        <n v="4220.0"/>
        <n v="2.66"/>
        <n v="28800.02"/>
        <n v="356289.0"/>
        <n v="39474.99"/>
        <n v="253100.0"/>
        <n v="746900.0"/>
        <n v="11826.06"/>
        <n v="130466.5"/>
        <n v="53039.59"/>
        <n v="280533.5"/>
        <n v="8382.58"/>
        <n v="300000.0"/>
        <n v="666.0"/>
        <n v="1870.0"/>
        <n v="140.0"/>
        <n v="690.0"/>
        <n v="826490.0"/>
        <n v="4186.0"/>
        <n v="1270.0"/>
        <n v="6124.0"/>
        <n v="15297.0"/>
        <n v="19666.0"/>
        <n v="8429.0"/>
        <n v="48446.29"/>
        <n v="1378.0"/>
        <n v="1100.0"/>
        <n v="9900.0"/>
        <n v="151199.0"/>
        <n v="15432.0"/>
        <n v="3840.0"/>
        <n v="1170.0"/>
        <n v="30015.0"/>
        <n v="30000.0"/>
        <n v="15249.8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5:J30" firstHeaderRow="0" firstDataRow="1" firstDataCol="1" rowPageCount="2" colPageCount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Cost Center" axis="axisPage" compact="0" outline="0" multipleItemSelectionAllowed="1" showAll="0">
      <items>
        <item x="0"/>
        <item x="1"/>
        <item x="2"/>
        <item h="1" x="3"/>
        <item t="default"/>
      </items>
    </pivotField>
    <pivotField name="Type" axis="axisPage" compact="0" outline="0" multipleItemSelectionAllowed="1" showAll="0">
      <items>
        <item x="0"/>
        <item x="1"/>
        <item h="1" x="2"/>
        <item x="3"/>
        <item t="default"/>
      </items>
    </pivotField>
    <pivotField name="Account" axis="axisRow" compact="0" outline="0" multipleItemSelectionAllowed="1" showAll="0" sortType="ascending">
      <items>
        <item x="24"/>
        <item x="1"/>
        <item x="10"/>
        <item x="0"/>
        <item x="2"/>
        <item x="14"/>
        <item x="13"/>
        <item x="5"/>
        <item x="11"/>
        <item x="23"/>
        <item x="16"/>
        <item x="22"/>
        <item x="17"/>
        <item x="8"/>
        <item x="19"/>
        <item x="3"/>
        <item x="7"/>
        <item x="12"/>
        <item x="4"/>
        <item x="15"/>
        <item x="6"/>
        <item x="20"/>
        <item x="9"/>
        <item x="21"/>
        <item x="18"/>
        <item t="default"/>
      </items>
    </pivotField>
    <pivotField name="Paid Through" axis="axisCol" compact="0" outline="0" multipleItemSelectionAllowed="1" showAll="0" sortType="ascending">
      <items>
        <item x="8"/>
        <item x="0"/>
        <item x="2"/>
        <item x="1"/>
        <item x="4"/>
        <item x="3"/>
        <item x="7"/>
        <item x="6"/>
        <item x="5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name="Total Amount (₹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</pivotFields>
  <rowFields>
    <field x="3"/>
  </rowFields>
  <colFields>
    <field x="4"/>
  </colFields>
  <pageFields>
    <pageField fld="1"/>
    <pageField fld="2"/>
  </pageFields>
  <dataFields>
    <dataField name="SUM of Total Amount (₹)" fld="6" baseField="0"/>
  </dataFields>
</pivotTableDefinition>
</file>

<file path=xl/tables/table1.xml><?xml version="1.0" encoding="utf-8"?>
<table xmlns="http://schemas.openxmlformats.org/spreadsheetml/2006/main" ref="A1:F1000" displayName="Table_1" name="Table_1" id="1">
  <tableColumns count="6">
    <tableColumn name="Date" id="1"/>
    <tableColumn name="Cost Center" id="2"/>
    <tableColumn name="Type" id="3"/>
    <tableColumn name="Received To" id="4"/>
    <tableColumn name="Description" id="5"/>
    <tableColumn name="Amount" id="6"/>
  </tableColumns>
  <tableStyleInfo name="Cre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6" dT="2026-08-12T04:48:44.00" personId="{b0b7f3d8-bcc0-4f2f-a558-027133d74728}" id="{ece1ff45-5406-4736-bc4b-dc9a43e3733a}" done="0">
    <x18tc:text xml:space="preserve">fibre unit forklift ₹13,27,434 ($F$12) to be subtracted from this sum to match the bank balance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4tnouc8aWLVD1l3gCB0oCSp4B3DZ8895vxeOrqx2qU/edit?usp=sharing" TargetMode="External"/><Relationship Id="rId2" Type="http://schemas.openxmlformats.org/officeDocument/2006/relationships/hyperlink" Target="https://docs.google.com/spreadsheets/d/1U4tnouc8aWLVD1l3gCB0oCSp4B3DZ8895vxeOrqx2qU/edit?usp=sharing" TargetMode="External"/><Relationship Id="rId3" Type="http://schemas.openxmlformats.org/officeDocument/2006/relationships/hyperlink" Target="https://docs.google.com/spreadsheets/d/1U4tnouc8aWLVD1l3gCB0oCSp4B3DZ8895vxeOrqx2qU/edit?usp=sharing" TargetMode="External"/><Relationship Id="rId4" Type="http://schemas.openxmlformats.org/officeDocument/2006/relationships/hyperlink" Target="http://hexagrofibre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0.0"/>
    <col customWidth="1" min="2" max="6" width="8.71"/>
  </cols>
  <sheetData>
    <row r="1">
      <c r="A1" s="1" t="s">
        <v>0</v>
      </c>
    </row>
    <row r="2">
      <c r="A2" s="2"/>
    </row>
    <row r="3">
      <c r="A3" s="3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/>
    </row>
    <row r="10">
      <c r="A10" s="3" t="s">
        <v>8</v>
      </c>
    </row>
    <row r="11">
      <c r="A11" s="2" t="s">
        <v>9</v>
      </c>
    </row>
    <row r="12">
      <c r="A12" s="2"/>
    </row>
    <row r="13">
      <c r="A13" s="3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/>
    </row>
    <row r="21" ht="15.75" customHeight="1">
      <c r="A21" s="3" t="s">
        <v>17</v>
      </c>
    </row>
    <row r="22" ht="15.75" customHeight="1">
      <c r="A22" s="2" t="s">
        <v>18</v>
      </c>
    </row>
    <row r="23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9.14"/>
    <col customWidth="1" min="3" max="4" width="12.0"/>
    <col customWidth="1" min="5" max="5" width="18.0"/>
    <col customWidth="1" min="6" max="6" width="3.0"/>
    <col customWidth="1" min="7" max="7" width="47.57"/>
    <col customWidth="1" min="8" max="9" width="12.0"/>
    <col customWidth="1" min="10" max="10" width="14.0"/>
    <col customWidth="1" min="11" max="11" width="8.71"/>
  </cols>
  <sheetData>
    <row r="1">
      <c r="A1" s="4" t="s">
        <v>1</v>
      </c>
      <c r="B1" s="4" t="s">
        <v>19</v>
      </c>
      <c r="C1" s="4" t="s">
        <v>20</v>
      </c>
      <c r="D1" s="4" t="s">
        <v>21</v>
      </c>
      <c r="E1" s="4" t="s">
        <v>22</v>
      </c>
      <c r="G1" s="5" t="s">
        <v>23</v>
      </c>
    </row>
    <row r="2">
      <c r="A2" s="6" t="s">
        <v>24</v>
      </c>
      <c r="B2" s="7" t="s">
        <v>25</v>
      </c>
      <c r="C2" s="2" t="s">
        <v>26</v>
      </c>
      <c r="D2" s="8">
        <v>46113.0</v>
      </c>
      <c r="E2" s="9" t="s">
        <v>27</v>
      </c>
      <c r="G2" s="10" t="s">
        <v>28</v>
      </c>
      <c r="H2" s="10" t="s">
        <v>24</v>
      </c>
      <c r="I2" s="10" t="s">
        <v>29</v>
      </c>
      <c r="J2" s="10" t="s">
        <v>30</v>
      </c>
    </row>
    <row r="3">
      <c r="A3" s="6" t="s">
        <v>29</v>
      </c>
      <c r="B3" s="7" t="s">
        <v>31</v>
      </c>
      <c r="C3" s="2" t="s">
        <v>32</v>
      </c>
      <c r="D3" s="8">
        <v>46143.0</v>
      </c>
      <c r="E3" s="9" t="s">
        <v>33</v>
      </c>
      <c r="G3" s="2" t="str">
        <f t="shared" ref="G3:G6" si="1">B2</f>
        <v>Shareholder - Jagadeesan</v>
      </c>
      <c r="H3" s="11">
        <v>0.2222</v>
      </c>
      <c r="I3" s="11">
        <v>0.3333</v>
      </c>
      <c r="J3" s="11">
        <v>0.3333</v>
      </c>
    </row>
    <row r="4">
      <c r="A4" s="6" t="s">
        <v>30</v>
      </c>
      <c r="B4" s="7" t="s">
        <v>34</v>
      </c>
      <c r="C4" s="2" t="s">
        <v>35</v>
      </c>
      <c r="D4" s="8">
        <v>46174.0</v>
      </c>
      <c r="E4" s="9" t="s">
        <v>36</v>
      </c>
      <c r="G4" s="2" t="str">
        <f t="shared" si="1"/>
        <v>Shareholder - Jagadeshwaran</v>
      </c>
      <c r="H4" s="11">
        <v>0.2222</v>
      </c>
      <c r="I4" s="11">
        <v>0.3333</v>
      </c>
      <c r="J4" s="11">
        <v>0.3333</v>
      </c>
    </row>
    <row r="5">
      <c r="A5" s="13" t="s">
        <v>38</v>
      </c>
      <c r="B5" s="6" t="s">
        <v>41</v>
      </c>
      <c r="C5" s="2" t="s">
        <v>42</v>
      </c>
      <c r="D5" s="8">
        <v>46204.0</v>
      </c>
      <c r="G5" s="2" t="str">
        <f t="shared" si="1"/>
        <v>Shareholder - Vellingiri</v>
      </c>
      <c r="H5" s="11">
        <v>0.2222</v>
      </c>
      <c r="I5" s="11">
        <v>0.3333</v>
      </c>
      <c r="J5" s="11">
        <v>0.3333</v>
      </c>
    </row>
    <row r="6">
      <c r="A6" s="13" t="s">
        <v>43</v>
      </c>
      <c r="B6" s="7" t="s">
        <v>45</v>
      </c>
      <c r="C6" s="2" t="s">
        <v>46</v>
      </c>
      <c r="D6" s="8">
        <v>46235.0</v>
      </c>
      <c r="G6" s="2" t="str">
        <f t="shared" si="1"/>
        <v>Vikas</v>
      </c>
      <c r="H6" s="11">
        <v>0.3333</v>
      </c>
      <c r="I6" s="11">
        <v>0.0</v>
      </c>
      <c r="J6" s="11">
        <v>0.0</v>
      </c>
    </row>
    <row r="7">
      <c r="B7" s="7" t="s">
        <v>49</v>
      </c>
      <c r="C7" s="2" t="s">
        <v>50</v>
      </c>
      <c r="D7" s="8">
        <v>46266.0</v>
      </c>
    </row>
    <row r="8">
      <c r="B8" s="7" t="s">
        <v>51</v>
      </c>
      <c r="C8" s="2" t="s">
        <v>52</v>
      </c>
      <c r="D8" s="8">
        <v>46296.0</v>
      </c>
      <c r="G8" s="5" t="s">
        <v>53</v>
      </c>
    </row>
    <row r="9">
      <c r="B9" s="7" t="s">
        <v>54</v>
      </c>
      <c r="C9" s="2" t="s">
        <v>55</v>
      </c>
      <c r="D9" s="8">
        <v>46327.0</v>
      </c>
      <c r="G9" s="4" t="s">
        <v>28</v>
      </c>
      <c r="H9" s="4" t="s">
        <v>56</v>
      </c>
    </row>
    <row r="10">
      <c r="C10" s="2" t="s">
        <v>57</v>
      </c>
      <c r="D10" s="8">
        <v>46357.0</v>
      </c>
      <c r="G10" s="2" t="str">
        <f t="shared" ref="G10:G13" si="2">B2</f>
        <v>Shareholder - Jagadeesan</v>
      </c>
      <c r="H10" s="15">
        <v>0.5</v>
      </c>
    </row>
    <row r="11">
      <c r="C11" s="2" t="s">
        <v>58</v>
      </c>
      <c r="D11" s="8">
        <v>46388.0</v>
      </c>
      <c r="G11" s="2" t="str">
        <f t="shared" si="2"/>
        <v>Shareholder - Jagadeshwaran</v>
      </c>
      <c r="H11" s="15">
        <v>0.5</v>
      </c>
    </row>
    <row r="12">
      <c r="C12" s="2" t="s">
        <v>59</v>
      </c>
      <c r="D12" s="8">
        <v>46419.0</v>
      </c>
      <c r="G12" s="2" t="str">
        <f t="shared" si="2"/>
        <v>Shareholder - Vellingiri</v>
      </c>
      <c r="H12" s="15">
        <v>0.0</v>
      </c>
    </row>
    <row r="13">
      <c r="C13" s="2" t="s">
        <v>60</v>
      </c>
      <c r="D13" s="8">
        <v>46447.0</v>
      </c>
      <c r="G13" s="2" t="str">
        <f t="shared" si="2"/>
        <v>Vikas</v>
      </c>
      <c r="H13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3" width="23.0"/>
    <col customWidth="1" min="4" max="4" width="26.14"/>
    <col customWidth="1" min="5" max="6" width="23.0"/>
    <col customWidth="1" min="7" max="7" width="21.14"/>
    <col customWidth="1" min="8" max="8" width="23.0"/>
    <col customWidth="1" min="9" max="21" width="20.43"/>
  </cols>
  <sheetData>
    <row r="1" ht="39.0" customHeight="1"/>
    <row r="2" ht="15.75" customHeight="1"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9.5" customHeight="1"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ht="19.5" customHeight="1"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ht="19.5" customHeight="1"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ht="19.5" customHeight="1"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ht="19.5" customHeight="1"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ht="19.5" customHeight="1"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ht="19.5" customHeight="1"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 ht="19.5" customHeight="1"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ht="19.5" customHeight="1"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ht="19.5" customHeight="1"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 ht="19.5" customHeight="1"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ht="19.5" customHeight="1"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ht="19.5" customHeight="1"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ht="19.5" customHeight="1"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ht="19.5" customHeight="1"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ht="19.5" customHeight="1"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 ht="19.5" customHeight="1"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ht="19.5" customHeight="1"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ht="19.5" customHeight="1"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ht="19.5" customHeight="1"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ht="19.5" customHeight="1"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ht="19.5" customHeight="1"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</row>
    <row r="25" ht="19.5" customHeight="1"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ht="19.5" customHeight="1"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</row>
    <row r="27" ht="19.5" customHeight="1"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9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9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9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7.29"/>
    <col customWidth="1" min="3" max="3" width="16.14"/>
    <col customWidth="1" min="4" max="4" width="29.43"/>
    <col customWidth="1" min="5" max="5" width="32.14"/>
    <col customWidth="1" min="6" max="6" width="81.86"/>
    <col customWidth="1" min="7" max="7" width="22.0"/>
  </cols>
  <sheetData>
    <row r="1" ht="21.75" customHeight="1">
      <c r="A1" s="12" t="s">
        <v>37</v>
      </c>
      <c r="B1" s="12" t="s">
        <v>39</v>
      </c>
      <c r="C1" s="14" t="s">
        <v>40</v>
      </c>
      <c r="D1" s="12" t="s">
        <v>44</v>
      </c>
      <c r="E1" s="12" t="s">
        <v>19</v>
      </c>
      <c r="F1" s="12" t="s">
        <v>47</v>
      </c>
      <c r="G1" s="12" t="s">
        <v>48</v>
      </c>
    </row>
    <row r="2">
      <c r="A2" s="17">
        <v>46113.0</v>
      </c>
      <c r="B2" s="21" t="s">
        <v>29</v>
      </c>
      <c r="C2" s="21" t="s">
        <v>27</v>
      </c>
      <c r="D2" s="21" t="s">
        <v>65</v>
      </c>
      <c r="E2" s="21" t="s">
        <v>45</v>
      </c>
      <c r="F2" s="21" t="s">
        <v>67</v>
      </c>
      <c r="G2" s="35">
        <v>29126.0</v>
      </c>
    </row>
    <row r="3">
      <c r="A3" s="42">
        <v>46115.0</v>
      </c>
      <c r="B3" s="43" t="s">
        <v>30</v>
      </c>
      <c r="C3" s="21" t="s">
        <v>27</v>
      </c>
      <c r="D3" s="43" t="s">
        <v>66</v>
      </c>
      <c r="E3" s="43" t="s">
        <v>31</v>
      </c>
      <c r="F3" s="43" t="s">
        <v>82</v>
      </c>
      <c r="G3" s="45">
        <v>500.0</v>
      </c>
    </row>
    <row r="4">
      <c r="A4" s="17">
        <v>46118.0</v>
      </c>
      <c r="B4" s="47" t="s">
        <v>29</v>
      </c>
      <c r="C4" s="49" t="s">
        <v>27</v>
      </c>
      <c r="D4" s="47" t="s">
        <v>76</v>
      </c>
      <c r="E4" s="49" t="s">
        <v>45</v>
      </c>
      <c r="F4" s="49" t="s">
        <v>90</v>
      </c>
      <c r="G4" s="51">
        <v>13200.0</v>
      </c>
    </row>
    <row r="5">
      <c r="A5" s="52">
        <v>46119.0</v>
      </c>
      <c r="B5" s="21" t="s">
        <v>30</v>
      </c>
      <c r="C5" s="21" t="s">
        <v>27</v>
      </c>
      <c r="D5" s="21" t="s">
        <v>96</v>
      </c>
      <c r="E5" s="21" t="s">
        <v>45</v>
      </c>
      <c r="F5" s="21" t="s">
        <v>99</v>
      </c>
      <c r="G5" s="35">
        <v>3427.0</v>
      </c>
    </row>
    <row r="6">
      <c r="A6" s="42">
        <v>46122.0</v>
      </c>
      <c r="B6" s="43" t="s">
        <v>30</v>
      </c>
      <c r="C6" s="21" t="s">
        <v>27</v>
      </c>
      <c r="D6" s="21" t="s">
        <v>101</v>
      </c>
      <c r="E6" s="43" t="s">
        <v>25</v>
      </c>
      <c r="F6" s="43" t="s">
        <v>103</v>
      </c>
      <c r="G6" s="45">
        <v>230.0</v>
      </c>
    </row>
    <row r="7">
      <c r="A7" s="17">
        <v>46126.0</v>
      </c>
      <c r="B7" s="47" t="s">
        <v>29</v>
      </c>
      <c r="C7" s="54" t="s">
        <v>27</v>
      </c>
      <c r="D7" s="47" t="s">
        <v>83</v>
      </c>
      <c r="E7" s="47" t="s">
        <v>45</v>
      </c>
      <c r="F7" s="49" t="s">
        <v>106</v>
      </c>
      <c r="G7" s="51">
        <v>7992.0</v>
      </c>
    </row>
    <row r="8">
      <c r="A8" s="42">
        <v>46128.0</v>
      </c>
      <c r="B8" s="43" t="s">
        <v>29</v>
      </c>
      <c r="C8" s="21" t="s">
        <v>27</v>
      </c>
      <c r="D8" s="43" t="s">
        <v>94</v>
      </c>
      <c r="E8" s="43" t="s">
        <v>45</v>
      </c>
      <c r="F8" s="43" t="s">
        <v>108</v>
      </c>
      <c r="G8" s="45">
        <v>17000.0</v>
      </c>
    </row>
    <row r="9">
      <c r="A9" s="42">
        <v>46130.0</v>
      </c>
      <c r="B9" s="43" t="s">
        <v>29</v>
      </c>
      <c r="C9" s="21" t="s">
        <v>27</v>
      </c>
      <c r="D9" s="43" t="s">
        <v>110</v>
      </c>
      <c r="E9" s="43" t="s">
        <v>45</v>
      </c>
      <c r="F9" s="43" t="s">
        <v>111</v>
      </c>
      <c r="G9" s="45">
        <v>1168.0</v>
      </c>
    </row>
    <row r="10">
      <c r="A10" s="42">
        <v>46130.0</v>
      </c>
      <c r="B10" s="43" t="s">
        <v>29</v>
      </c>
      <c r="C10" s="21" t="s">
        <v>27</v>
      </c>
      <c r="D10" s="43" t="s">
        <v>110</v>
      </c>
      <c r="E10" s="43" t="s">
        <v>45</v>
      </c>
      <c r="F10" s="43" t="s">
        <v>112</v>
      </c>
      <c r="G10" s="45">
        <v>991.0</v>
      </c>
    </row>
    <row r="11">
      <c r="A11" s="42">
        <v>46130.0</v>
      </c>
      <c r="B11" s="43" t="s">
        <v>29</v>
      </c>
      <c r="C11" s="21" t="s">
        <v>27</v>
      </c>
      <c r="D11" s="43" t="s">
        <v>104</v>
      </c>
      <c r="E11" s="43" t="s">
        <v>45</v>
      </c>
      <c r="F11" s="43" t="s">
        <v>114</v>
      </c>
      <c r="G11" s="45">
        <v>4450.0</v>
      </c>
    </row>
    <row r="12">
      <c r="A12" s="42">
        <v>46130.0</v>
      </c>
      <c r="B12" s="43" t="s">
        <v>29</v>
      </c>
      <c r="C12" s="21" t="s">
        <v>27</v>
      </c>
      <c r="D12" s="43" t="s">
        <v>110</v>
      </c>
      <c r="E12" s="43" t="s">
        <v>25</v>
      </c>
      <c r="F12" s="43" t="s">
        <v>115</v>
      </c>
      <c r="G12" s="45">
        <v>5414.0</v>
      </c>
    </row>
    <row r="13">
      <c r="A13" s="42">
        <v>46130.0</v>
      </c>
      <c r="B13" s="43" t="s">
        <v>29</v>
      </c>
      <c r="C13" s="21" t="s">
        <v>27</v>
      </c>
      <c r="D13" s="43" t="s">
        <v>110</v>
      </c>
      <c r="E13" s="43" t="s">
        <v>31</v>
      </c>
      <c r="F13" s="43" t="s">
        <v>115</v>
      </c>
      <c r="G13" s="45">
        <v>500.0</v>
      </c>
    </row>
    <row r="14">
      <c r="A14" s="42">
        <v>46130.0</v>
      </c>
      <c r="B14" s="43" t="s">
        <v>29</v>
      </c>
      <c r="C14" s="21" t="s">
        <v>27</v>
      </c>
      <c r="D14" s="43" t="s">
        <v>110</v>
      </c>
      <c r="E14" s="43" t="s">
        <v>25</v>
      </c>
      <c r="F14" s="43" t="s">
        <v>117</v>
      </c>
      <c r="G14" s="45">
        <v>3900.0</v>
      </c>
    </row>
    <row r="15">
      <c r="A15" s="42">
        <v>46130.0</v>
      </c>
      <c r="B15" s="43" t="s">
        <v>29</v>
      </c>
      <c r="C15" s="21" t="s">
        <v>27</v>
      </c>
      <c r="D15" s="43" t="s">
        <v>110</v>
      </c>
      <c r="E15" s="43" t="s">
        <v>25</v>
      </c>
      <c r="F15" s="43" t="s">
        <v>118</v>
      </c>
      <c r="G15" s="45">
        <v>3500.0</v>
      </c>
    </row>
    <row r="16">
      <c r="A16" s="42">
        <v>46133.0</v>
      </c>
      <c r="B16" s="43" t="s">
        <v>29</v>
      </c>
      <c r="C16" s="21" t="s">
        <v>27</v>
      </c>
      <c r="D16" s="43" t="s">
        <v>110</v>
      </c>
      <c r="E16" s="43" t="s">
        <v>45</v>
      </c>
      <c r="F16" s="43" t="s">
        <v>122</v>
      </c>
      <c r="G16" s="45">
        <v>3428.0</v>
      </c>
    </row>
    <row r="17">
      <c r="A17" s="42">
        <v>46136.0</v>
      </c>
      <c r="B17" s="43" t="s">
        <v>30</v>
      </c>
      <c r="C17" s="21" t="s">
        <v>27</v>
      </c>
      <c r="D17" s="21" t="s">
        <v>101</v>
      </c>
      <c r="E17" s="43" t="s">
        <v>25</v>
      </c>
      <c r="F17" s="43" t="s">
        <v>123</v>
      </c>
      <c r="G17" s="45">
        <v>4100.0</v>
      </c>
    </row>
    <row r="18" ht="15.75" customHeight="1">
      <c r="A18" s="42">
        <v>46137.0</v>
      </c>
      <c r="B18" s="43" t="s">
        <v>29</v>
      </c>
      <c r="C18" s="21" t="s">
        <v>27</v>
      </c>
      <c r="D18" s="43" t="s">
        <v>76</v>
      </c>
      <c r="E18" s="43" t="s">
        <v>45</v>
      </c>
      <c r="F18" s="43" t="s">
        <v>124</v>
      </c>
      <c r="G18" s="45">
        <v>16070.0</v>
      </c>
    </row>
    <row r="19" ht="15.75" customHeight="1">
      <c r="A19" s="42">
        <v>46137.0</v>
      </c>
      <c r="B19" s="43" t="s">
        <v>29</v>
      </c>
      <c r="C19" s="21" t="s">
        <v>27</v>
      </c>
      <c r="D19" s="43" t="s">
        <v>94</v>
      </c>
      <c r="E19" s="43" t="s">
        <v>25</v>
      </c>
      <c r="F19" s="43" t="s">
        <v>125</v>
      </c>
      <c r="G19" s="45">
        <v>3422.0</v>
      </c>
    </row>
    <row r="20" ht="15.75" customHeight="1">
      <c r="A20" s="17">
        <v>46140.0</v>
      </c>
      <c r="B20" s="49" t="s">
        <v>29</v>
      </c>
      <c r="C20" s="54" t="s">
        <v>27</v>
      </c>
      <c r="D20" s="47" t="s">
        <v>83</v>
      </c>
      <c r="E20" s="47" t="s">
        <v>45</v>
      </c>
      <c r="F20" s="49" t="s">
        <v>126</v>
      </c>
      <c r="G20" s="51">
        <v>536.0</v>
      </c>
    </row>
    <row r="21" ht="15.75" customHeight="1">
      <c r="A21" s="42">
        <v>46142.0</v>
      </c>
      <c r="B21" s="43" t="s">
        <v>29</v>
      </c>
      <c r="C21" s="21" t="s">
        <v>27</v>
      </c>
      <c r="D21" s="43" t="s">
        <v>65</v>
      </c>
      <c r="E21" s="21" t="s">
        <v>45</v>
      </c>
      <c r="F21" s="43" t="s">
        <v>128</v>
      </c>
      <c r="G21" s="45">
        <v>84608.0</v>
      </c>
    </row>
    <row r="22" ht="15.75" customHeight="1">
      <c r="A22" s="42">
        <v>46142.0</v>
      </c>
      <c r="B22" s="43" t="s">
        <v>29</v>
      </c>
      <c r="C22" s="21" t="s">
        <v>27</v>
      </c>
      <c r="D22" s="43" t="s">
        <v>110</v>
      </c>
      <c r="E22" s="43" t="s">
        <v>25</v>
      </c>
      <c r="F22" s="43" t="s">
        <v>129</v>
      </c>
      <c r="G22" s="45">
        <v>4484.0</v>
      </c>
    </row>
    <row r="23" ht="15.75" customHeight="1">
      <c r="A23" s="42">
        <v>46142.0</v>
      </c>
      <c r="B23" s="43" t="s">
        <v>29</v>
      </c>
      <c r="C23" s="21" t="s">
        <v>27</v>
      </c>
      <c r="D23" s="43" t="s">
        <v>110</v>
      </c>
      <c r="E23" s="43" t="s">
        <v>25</v>
      </c>
      <c r="F23" s="43" t="s">
        <v>131</v>
      </c>
      <c r="G23" s="45">
        <v>600.0</v>
      </c>
    </row>
    <row r="24" ht="15.75" customHeight="1">
      <c r="A24" s="42">
        <v>46142.0</v>
      </c>
      <c r="B24" s="43" t="s">
        <v>29</v>
      </c>
      <c r="C24" s="21" t="s">
        <v>27</v>
      </c>
      <c r="D24" s="43" t="s">
        <v>120</v>
      </c>
      <c r="E24" s="43" t="s">
        <v>25</v>
      </c>
      <c r="F24" s="43" t="s">
        <v>132</v>
      </c>
      <c r="G24" s="45">
        <v>1700.0</v>
      </c>
    </row>
    <row r="25" ht="15.75" customHeight="1">
      <c r="A25" s="42">
        <v>46144.0</v>
      </c>
      <c r="B25" s="43" t="s">
        <v>29</v>
      </c>
      <c r="C25" s="21" t="s">
        <v>27</v>
      </c>
      <c r="D25" s="43" t="s">
        <v>104</v>
      </c>
      <c r="E25" s="43" t="s">
        <v>45</v>
      </c>
      <c r="F25" s="43" t="s">
        <v>134</v>
      </c>
      <c r="G25" s="45">
        <v>8715.0</v>
      </c>
    </row>
    <row r="26" ht="15.75" customHeight="1">
      <c r="A26" s="42">
        <v>46144.0</v>
      </c>
      <c r="B26" s="43" t="s">
        <v>29</v>
      </c>
      <c r="C26" s="21" t="s">
        <v>27</v>
      </c>
      <c r="D26" s="43" t="s">
        <v>94</v>
      </c>
      <c r="E26" s="43" t="s">
        <v>25</v>
      </c>
      <c r="F26" s="43" t="s">
        <v>136</v>
      </c>
      <c r="G26" s="45">
        <v>708.0</v>
      </c>
    </row>
    <row r="27" ht="15.75" customHeight="1">
      <c r="A27" s="42">
        <v>46145.0</v>
      </c>
      <c r="B27" s="43" t="s">
        <v>29</v>
      </c>
      <c r="C27" s="21" t="s">
        <v>27</v>
      </c>
      <c r="D27" s="43" t="s">
        <v>110</v>
      </c>
      <c r="E27" s="43" t="s">
        <v>25</v>
      </c>
      <c r="F27" s="43" t="s">
        <v>137</v>
      </c>
      <c r="G27" s="45">
        <v>571.0</v>
      </c>
    </row>
    <row r="28" ht="15.75" customHeight="1">
      <c r="A28" s="42">
        <v>46147.0</v>
      </c>
      <c r="B28" s="43" t="s">
        <v>29</v>
      </c>
      <c r="C28" s="21" t="s">
        <v>27</v>
      </c>
      <c r="D28" s="43" t="s">
        <v>110</v>
      </c>
      <c r="E28" s="43" t="s">
        <v>25</v>
      </c>
      <c r="F28" s="43" t="s">
        <v>139</v>
      </c>
      <c r="G28" s="45">
        <v>320.0</v>
      </c>
    </row>
    <row r="29" ht="15.75" customHeight="1">
      <c r="A29" s="42">
        <v>46148.0</v>
      </c>
      <c r="B29" s="43" t="s">
        <v>29</v>
      </c>
      <c r="C29" s="21" t="s">
        <v>27</v>
      </c>
      <c r="D29" s="43" t="s">
        <v>110</v>
      </c>
      <c r="E29" s="43" t="s">
        <v>45</v>
      </c>
      <c r="F29" s="43" t="s">
        <v>140</v>
      </c>
      <c r="G29" s="45">
        <v>5330.0</v>
      </c>
    </row>
    <row r="30" ht="15.75" customHeight="1">
      <c r="A30" s="42">
        <v>46149.0</v>
      </c>
      <c r="B30" s="43" t="s">
        <v>29</v>
      </c>
      <c r="C30" s="21" t="s">
        <v>27</v>
      </c>
      <c r="D30" s="43" t="s">
        <v>66</v>
      </c>
      <c r="E30" s="43" t="s">
        <v>25</v>
      </c>
      <c r="F30" s="43" t="s">
        <v>141</v>
      </c>
      <c r="G30" s="45">
        <v>6000.0</v>
      </c>
    </row>
    <row r="31" ht="15.75" customHeight="1">
      <c r="A31" s="42">
        <v>46150.0</v>
      </c>
      <c r="B31" s="43" t="s">
        <v>29</v>
      </c>
      <c r="C31" s="21" t="s">
        <v>27</v>
      </c>
      <c r="D31" s="43" t="s">
        <v>110</v>
      </c>
      <c r="E31" s="43" t="s">
        <v>25</v>
      </c>
      <c r="F31" s="43" t="s">
        <v>143</v>
      </c>
      <c r="G31" s="45">
        <v>980.0</v>
      </c>
    </row>
    <row r="32" ht="15.75" customHeight="1">
      <c r="A32" s="42">
        <v>46150.0</v>
      </c>
      <c r="B32" s="43" t="s">
        <v>29</v>
      </c>
      <c r="C32" s="21" t="s">
        <v>27</v>
      </c>
      <c r="D32" s="43" t="s">
        <v>110</v>
      </c>
      <c r="E32" s="43" t="s">
        <v>45</v>
      </c>
      <c r="F32" s="43" t="s">
        <v>145</v>
      </c>
      <c r="G32" s="45">
        <v>10660.0</v>
      </c>
    </row>
    <row r="33" ht="15.75" customHeight="1">
      <c r="A33" s="42">
        <v>46150.0</v>
      </c>
      <c r="B33" s="43" t="s">
        <v>29</v>
      </c>
      <c r="C33" s="21" t="s">
        <v>27</v>
      </c>
      <c r="D33" s="43" t="s">
        <v>110</v>
      </c>
      <c r="E33" s="43" t="s">
        <v>45</v>
      </c>
      <c r="F33" s="43" t="s">
        <v>147</v>
      </c>
      <c r="G33" s="45">
        <v>1250.0</v>
      </c>
    </row>
    <row r="34" ht="15.75" customHeight="1">
      <c r="A34" s="42">
        <v>46151.0</v>
      </c>
      <c r="B34" s="43" t="s">
        <v>29</v>
      </c>
      <c r="C34" s="21" t="s">
        <v>27</v>
      </c>
      <c r="D34" s="43" t="s">
        <v>104</v>
      </c>
      <c r="E34" s="43" t="s">
        <v>45</v>
      </c>
      <c r="F34" s="43" t="s">
        <v>149</v>
      </c>
      <c r="G34" s="45">
        <v>8550.0</v>
      </c>
    </row>
    <row r="35" ht="15.75" customHeight="1">
      <c r="A35" s="42">
        <v>46154.0</v>
      </c>
      <c r="B35" s="43" t="s">
        <v>29</v>
      </c>
      <c r="C35" s="21" t="s">
        <v>27</v>
      </c>
      <c r="D35" s="43" t="s">
        <v>110</v>
      </c>
      <c r="E35" s="43" t="s">
        <v>45</v>
      </c>
      <c r="F35" s="43" t="s">
        <v>151</v>
      </c>
      <c r="G35" s="45">
        <v>54500.0</v>
      </c>
    </row>
    <row r="36" ht="15.75" customHeight="1">
      <c r="A36" s="42">
        <v>46157.0</v>
      </c>
      <c r="B36" s="43" t="s">
        <v>29</v>
      </c>
      <c r="C36" s="21" t="s">
        <v>27</v>
      </c>
      <c r="D36" s="43" t="s">
        <v>72</v>
      </c>
      <c r="E36" s="43" t="s">
        <v>49</v>
      </c>
      <c r="F36" s="43" t="s">
        <v>152</v>
      </c>
      <c r="G36" s="45">
        <v>13014.16</v>
      </c>
    </row>
    <row r="37" ht="15.75" customHeight="1">
      <c r="A37" s="42">
        <v>46157.0</v>
      </c>
      <c r="B37" s="43" t="s">
        <v>29</v>
      </c>
      <c r="C37" s="21" t="s">
        <v>27</v>
      </c>
      <c r="D37" s="43" t="s">
        <v>120</v>
      </c>
      <c r="E37" s="43" t="s">
        <v>45</v>
      </c>
      <c r="F37" s="43" t="s">
        <v>153</v>
      </c>
      <c r="G37" s="45">
        <v>4000.0</v>
      </c>
    </row>
    <row r="38" ht="15.75" customHeight="1">
      <c r="A38" s="42">
        <v>46157.0</v>
      </c>
      <c r="B38" s="43" t="s">
        <v>29</v>
      </c>
      <c r="C38" s="21" t="s">
        <v>27</v>
      </c>
      <c r="D38" s="43" t="s">
        <v>104</v>
      </c>
      <c r="E38" s="43" t="s">
        <v>45</v>
      </c>
      <c r="F38" s="43" t="s">
        <v>149</v>
      </c>
      <c r="G38" s="45">
        <v>8857.0</v>
      </c>
    </row>
    <row r="39" ht="15.75" customHeight="1">
      <c r="A39" s="42">
        <v>46158.0</v>
      </c>
      <c r="B39" s="43" t="s">
        <v>29</v>
      </c>
      <c r="C39" s="21" t="s">
        <v>27</v>
      </c>
      <c r="D39" s="43" t="s">
        <v>120</v>
      </c>
      <c r="E39" s="43" t="s">
        <v>25</v>
      </c>
      <c r="F39" s="43" t="s">
        <v>154</v>
      </c>
      <c r="G39" s="45">
        <v>1500.0</v>
      </c>
    </row>
    <row r="40" ht="15.75" customHeight="1">
      <c r="A40" s="42">
        <v>46162.0</v>
      </c>
      <c r="B40" s="43" t="s">
        <v>30</v>
      </c>
      <c r="C40" s="21" t="s">
        <v>27</v>
      </c>
      <c r="D40" s="43" t="s">
        <v>66</v>
      </c>
      <c r="E40" s="43" t="s">
        <v>25</v>
      </c>
      <c r="F40" s="43" t="s">
        <v>155</v>
      </c>
      <c r="G40" s="45">
        <v>1000.0</v>
      </c>
    </row>
    <row r="41" ht="15.75" customHeight="1">
      <c r="A41" s="42">
        <v>46163.0</v>
      </c>
      <c r="B41" s="43" t="s">
        <v>29</v>
      </c>
      <c r="C41" s="21" t="s">
        <v>27</v>
      </c>
      <c r="D41" s="43" t="s">
        <v>110</v>
      </c>
      <c r="E41" s="43" t="s">
        <v>25</v>
      </c>
      <c r="F41" s="43" t="s">
        <v>156</v>
      </c>
      <c r="G41" s="45">
        <v>28000.0</v>
      </c>
    </row>
    <row r="42" ht="15.75" customHeight="1">
      <c r="A42" s="52">
        <v>46163.0</v>
      </c>
      <c r="B42" s="21" t="s">
        <v>29</v>
      </c>
      <c r="C42" s="21" t="s">
        <v>27</v>
      </c>
      <c r="D42" s="21" t="s">
        <v>72</v>
      </c>
      <c r="E42" s="21" t="s">
        <v>45</v>
      </c>
      <c r="F42" s="63" t="s">
        <v>157</v>
      </c>
      <c r="G42" s="35">
        <v>58.41</v>
      </c>
    </row>
    <row r="43" ht="15.75" customHeight="1">
      <c r="A43" s="42">
        <v>46164.0</v>
      </c>
      <c r="B43" s="43" t="s">
        <v>30</v>
      </c>
      <c r="C43" s="21" t="s">
        <v>27</v>
      </c>
      <c r="D43" s="43" t="s">
        <v>66</v>
      </c>
      <c r="E43" s="43" t="s">
        <v>25</v>
      </c>
      <c r="F43" s="43" t="s">
        <v>160</v>
      </c>
      <c r="G43" s="45">
        <v>7994.0</v>
      </c>
    </row>
    <row r="44" ht="15.75" customHeight="1">
      <c r="A44" s="42">
        <v>46164.0</v>
      </c>
      <c r="B44" s="43" t="s">
        <v>30</v>
      </c>
      <c r="C44" s="21" t="s">
        <v>27</v>
      </c>
      <c r="D44" s="43" t="s">
        <v>72</v>
      </c>
      <c r="E44" s="43" t="s">
        <v>25</v>
      </c>
      <c r="F44" s="43" t="s">
        <v>161</v>
      </c>
      <c r="G44" s="45">
        <v>2950.0</v>
      </c>
    </row>
    <row r="45" ht="15.75" customHeight="1">
      <c r="A45" s="42">
        <v>46165.0</v>
      </c>
      <c r="B45" s="43" t="s">
        <v>29</v>
      </c>
      <c r="C45" s="21" t="s">
        <v>27</v>
      </c>
      <c r="D45" s="43" t="s">
        <v>110</v>
      </c>
      <c r="E45" s="43" t="s">
        <v>45</v>
      </c>
      <c r="F45" s="43" t="s">
        <v>162</v>
      </c>
      <c r="G45" s="45">
        <v>1190.0</v>
      </c>
    </row>
    <row r="46" ht="15.75" customHeight="1">
      <c r="A46" s="42">
        <v>46165.0</v>
      </c>
      <c r="B46" s="43" t="s">
        <v>29</v>
      </c>
      <c r="C46" s="21" t="s">
        <v>27</v>
      </c>
      <c r="D46" s="43" t="s">
        <v>79</v>
      </c>
      <c r="E46" s="43" t="s">
        <v>45</v>
      </c>
      <c r="F46" s="43" t="s">
        <v>149</v>
      </c>
      <c r="G46" s="45">
        <v>8980.0</v>
      </c>
    </row>
    <row r="47" ht="15.75" customHeight="1">
      <c r="A47" s="42">
        <v>46165.0</v>
      </c>
      <c r="B47" s="43" t="s">
        <v>30</v>
      </c>
      <c r="C47" s="21" t="s">
        <v>27</v>
      </c>
      <c r="D47" s="43" t="s">
        <v>119</v>
      </c>
      <c r="E47" s="43" t="s">
        <v>25</v>
      </c>
      <c r="F47" s="43" t="s">
        <v>163</v>
      </c>
      <c r="G47" s="45">
        <v>150.0</v>
      </c>
    </row>
    <row r="48" ht="15.75" customHeight="1">
      <c r="A48" s="42">
        <v>46165.0</v>
      </c>
      <c r="B48" s="43" t="s">
        <v>30</v>
      </c>
      <c r="C48" s="21" t="s">
        <v>27</v>
      </c>
      <c r="D48" s="43" t="s">
        <v>76</v>
      </c>
      <c r="E48" s="21" t="s">
        <v>45</v>
      </c>
      <c r="F48" s="21" t="s">
        <v>164</v>
      </c>
      <c r="G48" s="45">
        <v>66083.0</v>
      </c>
    </row>
    <row r="49" ht="15.75" customHeight="1">
      <c r="A49" s="42">
        <v>46167.0</v>
      </c>
      <c r="B49" s="43" t="s">
        <v>29</v>
      </c>
      <c r="C49" s="21" t="s">
        <v>27</v>
      </c>
      <c r="D49" s="43" t="s">
        <v>110</v>
      </c>
      <c r="E49" s="43" t="s">
        <v>25</v>
      </c>
      <c r="F49" s="43" t="s">
        <v>165</v>
      </c>
      <c r="G49" s="45">
        <v>980.0</v>
      </c>
    </row>
    <row r="50" ht="15.75" customHeight="1">
      <c r="A50" s="42">
        <v>46167.0</v>
      </c>
      <c r="B50" s="43" t="s">
        <v>29</v>
      </c>
      <c r="C50" s="21" t="s">
        <v>27</v>
      </c>
      <c r="D50" s="43" t="s">
        <v>110</v>
      </c>
      <c r="E50" s="43" t="s">
        <v>45</v>
      </c>
      <c r="F50" s="43" t="s">
        <v>166</v>
      </c>
      <c r="G50" s="45">
        <v>2840.0</v>
      </c>
    </row>
    <row r="51" ht="15.75" customHeight="1">
      <c r="A51" s="42">
        <v>46167.0</v>
      </c>
      <c r="B51" s="43" t="s">
        <v>29</v>
      </c>
      <c r="C51" s="21" t="s">
        <v>27</v>
      </c>
      <c r="D51" s="43" t="s">
        <v>110</v>
      </c>
      <c r="E51" s="43" t="s">
        <v>31</v>
      </c>
      <c r="F51" s="43" t="s">
        <v>167</v>
      </c>
      <c r="G51" s="45">
        <v>265431.0</v>
      </c>
    </row>
    <row r="52" ht="15.75" customHeight="1">
      <c r="A52" s="42">
        <v>46172.0</v>
      </c>
      <c r="B52" s="43" t="s">
        <v>29</v>
      </c>
      <c r="C52" s="21" t="s">
        <v>27</v>
      </c>
      <c r="D52" s="43" t="s">
        <v>110</v>
      </c>
      <c r="E52" s="43" t="s">
        <v>25</v>
      </c>
      <c r="F52" s="43" t="s">
        <v>168</v>
      </c>
      <c r="G52" s="45">
        <v>3000.0</v>
      </c>
    </row>
    <row r="53" ht="15.75" customHeight="1">
      <c r="A53" s="42">
        <v>46172.0</v>
      </c>
      <c r="B53" s="43" t="s">
        <v>29</v>
      </c>
      <c r="C53" s="21" t="s">
        <v>27</v>
      </c>
      <c r="D53" s="43" t="s">
        <v>79</v>
      </c>
      <c r="E53" s="43" t="s">
        <v>45</v>
      </c>
      <c r="F53" s="43" t="s">
        <v>149</v>
      </c>
      <c r="G53" s="45">
        <v>14025.0</v>
      </c>
    </row>
    <row r="54" ht="15.75" customHeight="1">
      <c r="A54" s="42">
        <v>46172.0</v>
      </c>
      <c r="B54" s="43" t="s">
        <v>29</v>
      </c>
      <c r="C54" s="21" t="s">
        <v>27</v>
      </c>
      <c r="D54" s="43" t="s">
        <v>110</v>
      </c>
      <c r="E54" s="43" t="s">
        <v>25</v>
      </c>
      <c r="F54" s="43" t="s">
        <v>169</v>
      </c>
      <c r="G54" s="45">
        <v>6545.0</v>
      </c>
    </row>
    <row r="55" ht="15.75" customHeight="1">
      <c r="A55" s="42">
        <v>46173.0</v>
      </c>
      <c r="B55" s="43" t="s">
        <v>29</v>
      </c>
      <c r="C55" s="21" t="s">
        <v>27</v>
      </c>
      <c r="D55" s="43" t="s">
        <v>72</v>
      </c>
      <c r="E55" s="43" t="s">
        <v>49</v>
      </c>
      <c r="F55" s="43" t="s">
        <v>170</v>
      </c>
      <c r="G55" s="45">
        <v>7180.0</v>
      </c>
    </row>
    <row r="56" ht="15.75" customHeight="1">
      <c r="A56" s="42">
        <v>46173.0</v>
      </c>
      <c r="B56" s="43" t="s">
        <v>29</v>
      </c>
      <c r="C56" s="21" t="s">
        <v>27</v>
      </c>
      <c r="D56" s="43" t="s">
        <v>65</v>
      </c>
      <c r="E56" s="21" t="s">
        <v>45</v>
      </c>
      <c r="F56" s="43" t="s">
        <v>171</v>
      </c>
      <c r="G56" s="45">
        <v>89115.0</v>
      </c>
    </row>
    <row r="57" ht="15.75" customHeight="1">
      <c r="A57" s="42">
        <v>46175.0</v>
      </c>
      <c r="B57" s="43" t="s">
        <v>29</v>
      </c>
      <c r="C57" s="21" t="s">
        <v>27</v>
      </c>
      <c r="D57" s="43" t="s">
        <v>110</v>
      </c>
      <c r="E57" s="43" t="s">
        <v>25</v>
      </c>
      <c r="F57" s="43" t="s">
        <v>172</v>
      </c>
      <c r="G57" s="45">
        <v>6000.0</v>
      </c>
    </row>
    <row r="58" ht="15.75" customHeight="1">
      <c r="A58" s="42">
        <v>46175.0</v>
      </c>
      <c r="B58" s="43" t="s">
        <v>29</v>
      </c>
      <c r="C58" s="21" t="s">
        <v>27</v>
      </c>
      <c r="D58" s="43" t="s">
        <v>110</v>
      </c>
      <c r="E58" s="43" t="s">
        <v>45</v>
      </c>
      <c r="F58" s="43" t="s">
        <v>173</v>
      </c>
      <c r="G58" s="45">
        <v>5840.0</v>
      </c>
    </row>
    <row r="59" ht="15.75" customHeight="1">
      <c r="A59" s="52">
        <v>46176.0</v>
      </c>
      <c r="B59" s="43" t="s">
        <v>30</v>
      </c>
      <c r="C59" s="21" t="s">
        <v>27</v>
      </c>
      <c r="D59" s="43" t="s">
        <v>76</v>
      </c>
      <c r="E59" s="21" t="s">
        <v>49</v>
      </c>
      <c r="F59" s="21" t="s">
        <v>174</v>
      </c>
      <c r="G59" s="35">
        <v>53843.0</v>
      </c>
    </row>
    <row r="60" ht="15.75" customHeight="1">
      <c r="A60" s="42">
        <v>46177.0</v>
      </c>
      <c r="B60" s="43" t="s">
        <v>29</v>
      </c>
      <c r="C60" s="21" t="s">
        <v>27</v>
      </c>
      <c r="D60" s="43" t="s">
        <v>110</v>
      </c>
      <c r="E60" s="43" t="s">
        <v>31</v>
      </c>
      <c r="F60" s="43" t="s">
        <v>175</v>
      </c>
      <c r="G60" s="45">
        <v>12536.0</v>
      </c>
    </row>
    <row r="61" ht="15.75" customHeight="1">
      <c r="A61" s="42">
        <v>46178.0</v>
      </c>
      <c r="B61" s="43" t="s">
        <v>29</v>
      </c>
      <c r="C61" s="21" t="s">
        <v>27</v>
      </c>
      <c r="D61" s="43" t="s">
        <v>110</v>
      </c>
      <c r="E61" s="43" t="s">
        <v>45</v>
      </c>
      <c r="F61" s="43" t="s">
        <v>166</v>
      </c>
      <c r="G61" s="45">
        <v>1430.0</v>
      </c>
    </row>
    <row r="62" ht="15.75" customHeight="1">
      <c r="A62" s="42">
        <v>46179.0</v>
      </c>
      <c r="B62" s="43" t="s">
        <v>29</v>
      </c>
      <c r="C62" s="21" t="s">
        <v>27</v>
      </c>
      <c r="D62" s="43" t="s">
        <v>94</v>
      </c>
      <c r="E62" s="43" t="s">
        <v>25</v>
      </c>
      <c r="F62" s="43" t="s">
        <v>176</v>
      </c>
      <c r="G62" s="45">
        <v>1450.0</v>
      </c>
    </row>
    <row r="63" ht="15.75" customHeight="1">
      <c r="A63" s="42">
        <v>46179.0</v>
      </c>
      <c r="B63" s="43" t="s">
        <v>29</v>
      </c>
      <c r="C63" s="21" t="s">
        <v>27</v>
      </c>
      <c r="D63" s="43" t="s">
        <v>79</v>
      </c>
      <c r="E63" s="43" t="s">
        <v>45</v>
      </c>
      <c r="F63" s="43" t="s">
        <v>177</v>
      </c>
      <c r="G63" s="45">
        <v>13105.0</v>
      </c>
    </row>
    <row r="64" ht="15.75" customHeight="1">
      <c r="A64" s="42">
        <v>46179.0</v>
      </c>
      <c r="B64" s="43" t="s">
        <v>30</v>
      </c>
      <c r="C64" s="21" t="s">
        <v>27</v>
      </c>
      <c r="D64" s="43" t="s">
        <v>79</v>
      </c>
      <c r="E64" s="43" t="s">
        <v>45</v>
      </c>
      <c r="F64" s="43" t="s">
        <v>178</v>
      </c>
      <c r="G64" s="45">
        <v>2615.0</v>
      </c>
    </row>
    <row r="65" ht="15.75" customHeight="1">
      <c r="A65" s="42">
        <v>46181.0</v>
      </c>
      <c r="B65" s="43" t="s">
        <v>29</v>
      </c>
      <c r="C65" s="21" t="s">
        <v>27</v>
      </c>
      <c r="D65" s="43" t="s">
        <v>110</v>
      </c>
      <c r="E65" s="43" t="s">
        <v>45</v>
      </c>
      <c r="F65" s="43" t="s">
        <v>179</v>
      </c>
      <c r="G65" s="45">
        <v>48640.0</v>
      </c>
    </row>
    <row r="66" ht="15.75" customHeight="1">
      <c r="A66" s="42">
        <v>46181.0</v>
      </c>
      <c r="B66" s="43" t="s">
        <v>30</v>
      </c>
      <c r="C66" s="21" t="s">
        <v>27</v>
      </c>
      <c r="D66" s="43" t="s">
        <v>66</v>
      </c>
      <c r="E66" s="43" t="s">
        <v>25</v>
      </c>
      <c r="F66" s="43" t="s">
        <v>180</v>
      </c>
      <c r="G66" s="45">
        <v>120.0</v>
      </c>
    </row>
    <row r="67" ht="15.75" customHeight="1">
      <c r="A67" s="42">
        <v>46182.0</v>
      </c>
      <c r="B67" s="43" t="s">
        <v>29</v>
      </c>
      <c r="C67" s="21" t="s">
        <v>27</v>
      </c>
      <c r="D67" s="43" t="s">
        <v>81</v>
      </c>
      <c r="E67" s="21" t="s">
        <v>45</v>
      </c>
      <c r="F67" s="43" t="s">
        <v>181</v>
      </c>
      <c r="G67" s="45">
        <v>8330.0</v>
      </c>
    </row>
    <row r="68" ht="15.75" customHeight="1">
      <c r="A68" s="42">
        <v>46182.0</v>
      </c>
      <c r="B68" s="43" t="s">
        <v>29</v>
      </c>
      <c r="C68" s="21" t="s">
        <v>27</v>
      </c>
      <c r="D68" s="43" t="s">
        <v>110</v>
      </c>
      <c r="E68" s="43" t="s">
        <v>25</v>
      </c>
      <c r="F68" s="43" t="s">
        <v>182</v>
      </c>
      <c r="G68" s="45">
        <v>380.0</v>
      </c>
    </row>
    <row r="69" ht="15.75" customHeight="1">
      <c r="A69" s="42">
        <v>46183.0</v>
      </c>
      <c r="B69" s="43" t="s">
        <v>29</v>
      </c>
      <c r="C69" s="21" t="s">
        <v>27</v>
      </c>
      <c r="D69" s="43" t="s">
        <v>72</v>
      </c>
      <c r="E69" s="43" t="s">
        <v>49</v>
      </c>
      <c r="F69" s="43"/>
      <c r="G69" s="45">
        <v>44.88</v>
      </c>
    </row>
    <row r="70" ht="15.75" customHeight="1">
      <c r="A70" s="42">
        <v>46183.0</v>
      </c>
      <c r="B70" s="43" t="s">
        <v>30</v>
      </c>
      <c r="C70" s="21" t="s">
        <v>27</v>
      </c>
      <c r="D70" s="43" t="s">
        <v>94</v>
      </c>
      <c r="E70" s="21" t="s">
        <v>45</v>
      </c>
      <c r="F70" s="43" t="s">
        <v>183</v>
      </c>
      <c r="G70" s="45">
        <v>11600.0</v>
      </c>
    </row>
    <row r="71" ht="15.75" customHeight="1">
      <c r="A71" s="42">
        <v>46183.0</v>
      </c>
      <c r="B71" s="43" t="s">
        <v>30</v>
      </c>
      <c r="C71" s="21" t="s">
        <v>27</v>
      </c>
      <c r="D71" s="43" t="s">
        <v>66</v>
      </c>
      <c r="E71" s="43" t="s">
        <v>25</v>
      </c>
      <c r="F71" s="43" t="s">
        <v>184</v>
      </c>
      <c r="G71" s="45">
        <v>850.0</v>
      </c>
    </row>
    <row r="72" ht="15.75" customHeight="1">
      <c r="A72" s="42">
        <v>46184.0</v>
      </c>
      <c r="B72" s="43" t="s">
        <v>30</v>
      </c>
      <c r="C72" s="21" t="s">
        <v>27</v>
      </c>
      <c r="D72" s="43" t="s">
        <v>66</v>
      </c>
      <c r="E72" s="43" t="s">
        <v>25</v>
      </c>
      <c r="F72" s="43" t="s">
        <v>185</v>
      </c>
      <c r="G72" s="45">
        <v>3000.0</v>
      </c>
    </row>
    <row r="73" ht="15.75" customHeight="1">
      <c r="A73" s="52">
        <v>46185.0</v>
      </c>
      <c r="B73" s="21" t="s">
        <v>24</v>
      </c>
      <c r="C73" s="21" t="s">
        <v>27</v>
      </c>
      <c r="D73" s="43" t="s">
        <v>83</v>
      </c>
      <c r="E73" s="43" t="s">
        <v>45</v>
      </c>
      <c r="F73" s="43" t="s">
        <v>113</v>
      </c>
      <c r="G73" s="35">
        <v>31566.0</v>
      </c>
    </row>
    <row r="74" ht="15.75" customHeight="1">
      <c r="A74" s="42">
        <v>46185.0</v>
      </c>
      <c r="B74" s="43" t="s">
        <v>29</v>
      </c>
      <c r="C74" s="21" t="s">
        <v>27</v>
      </c>
      <c r="D74" s="43" t="s">
        <v>81</v>
      </c>
      <c r="E74" s="43" t="s">
        <v>45</v>
      </c>
      <c r="F74" s="43" t="s">
        <v>186</v>
      </c>
      <c r="G74" s="45">
        <v>7891.0</v>
      </c>
    </row>
    <row r="75" ht="15.75" customHeight="1">
      <c r="A75" s="42">
        <v>46186.0</v>
      </c>
      <c r="B75" s="43" t="s">
        <v>29</v>
      </c>
      <c r="C75" s="21" t="s">
        <v>27</v>
      </c>
      <c r="D75" s="43" t="s">
        <v>79</v>
      </c>
      <c r="E75" s="43" t="s">
        <v>45</v>
      </c>
      <c r="F75" s="43" t="s">
        <v>187</v>
      </c>
      <c r="G75" s="45">
        <v>33869.0</v>
      </c>
    </row>
    <row r="76" ht="15.75" customHeight="1">
      <c r="A76" s="42">
        <v>46187.0</v>
      </c>
      <c r="B76" s="43" t="s">
        <v>30</v>
      </c>
      <c r="C76" s="21" t="s">
        <v>27</v>
      </c>
      <c r="D76" s="43" t="s">
        <v>104</v>
      </c>
      <c r="E76" s="43" t="s">
        <v>25</v>
      </c>
      <c r="F76" s="43" t="s">
        <v>188</v>
      </c>
      <c r="G76" s="45">
        <v>1000.0</v>
      </c>
    </row>
    <row r="77" ht="15.75" customHeight="1">
      <c r="A77" s="42">
        <v>46188.0</v>
      </c>
      <c r="B77" s="43" t="s">
        <v>29</v>
      </c>
      <c r="C77" s="21" t="s">
        <v>27</v>
      </c>
      <c r="D77" s="21" t="s">
        <v>78</v>
      </c>
      <c r="E77" s="43" t="s">
        <v>45</v>
      </c>
      <c r="F77" s="43" t="s">
        <v>189</v>
      </c>
      <c r="G77" s="45">
        <v>9800.0</v>
      </c>
    </row>
    <row r="78" ht="15.75" customHeight="1">
      <c r="A78" s="42">
        <v>46188.0</v>
      </c>
      <c r="B78" s="43" t="s">
        <v>30</v>
      </c>
      <c r="C78" s="21" t="s">
        <v>27</v>
      </c>
      <c r="D78" s="43" t="s">
        <v>79</v>
      </c>
      <c r="E78" s="43" t="s">
        <v>45</v>
      </c>
      <c r="F78" s="43" t="s">
        <v>178</v>
      </c>
      <c r="G78" s="45">
        <v>590.0</v>
      </c>
    </row>
    <row r="79" ht="15.75" customHeight="1">
      <c r="A79" s="42">
        <v>46188.0</v>
      </c>
      <c r="B79" s="43" t="s">
        <v>30</v>
      </c>
      <c r="C79" s="21" t="s">
        <v>27</v>
      </c>
      <c r="D79" s="43" t="s">
        <v>110</v>
      </c>
      <c r="E79" s="43" t="s">
        <v>25</v>
      </c>
      <c r="F79" s="43" t="s">
        <v>194</v>
      </c>
      <c r="G79" s="45">
        <v>20000.0</v>
      </c>
    </row>
    <row r="80" ht="15.75" customHeight="1">
      <c r="A80" s="42">
        <v>46189.0</v>
      </c>
      <c r="B80" s="43" t="s">
        <v>29</v>
      </c>
      <c r="C80" s="21" t="s">
        <v>33</v>
      </c>
      <c r="D80" s="21" t="s">
        <v>33</v>
      </c>
      <c r="E80" s="43" t="s">
        <v>49</v>
      </c>
      <c r="F80" s="43" t="s">
        <v>195</v>
      </c>
      <c r="G80" s="45">
        <v>93753.0</v>
      </c>
    </row>
    <row r="81" ht="15.75" customHeight="1">
      <c r="A81" s="42">
        <v>46189.0</v>
      </c>
      <c r="B81" s="43" t="s">
        <v>29</v>
      </c>
      <c r="C81" s="21" t="s">
        <v>33</v>
      </c>
      <c r="D81" s="21" t="s">
        <v>33</v>
      </c>
      <c r="E81" s="43" t="s">
        <v>49</v>
      </c>
      <c r="F81" s="43" t="s">
        <v>195</v>
      </c>
      <c r="G81" s="45">
        <v>43659.0</v>
      </c>
    </row>
    <row r="82" ht="15.75" customHeight="1">
      <c r="A82" s="42">
        <v>46189.0</v>
      </c>
      <c r="B82" s="43" t="s">
        <v>29</v>
      </c>
      <c r="C82" s="21" t="s">
        <v>33</v>
      </c>
      <c r="D82" s="21" t="s">
        <v>33</v>
      </c>
      <c r="E82" s="43" t="s">
        <v>49</v>
      </c>
      <c r="F82" s="43" t="s">
        <v>196</v>
      </c>
      <c r="G82" s="45">
        <v>37785.0</v>
      </c>
    </row>
    <row r="83" ht="15.75" customHeight="1">
      <c r="A83" s="42">
        <v>46190.0</v>
      </c>
      <c r="B83" s="43" t="s">
        <v>29</v>
      </c>
      <c r="C83" s="21" t="s">
        <v>33</v>
      </c>
      <c r="D83" s="21" t="s">
        <v>33</v>
      </c>
      <c r="E83" s="43" t="s">
        <v>49</v>
      </c>
      <c r="F83" s="43" t="s">
        <v>196</v>
      </c>
      <c r="G83" s="45">
        <v>42174.0</v>
      </c>
    </row>
    <row r="84" ht="15.75" customHeight="1">
      <c r="A84" s="42">
        <v>46190.0</v>
      </c>
      <c r="B84" s="43" t="s">
        <v>29</v>
      </c>
      <c r="C84" s="21" t="s">
        <v>33</v>
      </c>
      <c r="D84" s="21" t="s">
        <v>33</v>
      </c>
      <c r="E84" s="43" t="s">
        <v>49</v>
      </c>
      <c r="F84" s="43" t="s">
        <v>195</v>
      </c>
      <c r="G84" s="45">
        <v>10626.0</v>
      </c>
    </row>
    <row r="85" ht="15.75" customHeight="1">
      <c r="A85" s="42">
        <v>46190.0</v>
      </c>
      <c r="B85" s="43" t="s">
        <v>29</v>
      </c>
      <c r="C85" s="21" t="s">
        <v>27</v>
      </c>
      <c r="D85" s="21" t="s">
        <v>81</v>
      </c>
      <c r="E85" s="43" t="s">
        <v>49</v>
      </c>
      <c r="F85" s="21" t="s">
        <v>91</v>
      </c>
      <c r="G85" s="35">
        <v>75000.0</v>
      </c>
    </row>
    <row r="86" ht="15.75" customHeight="1">
      <c r="A86" s="42">
        <v>46191.0</v>
      </c>
      <c r="B86" s="43" t="s">
        <v>30</v>
      </c>
      <c r="C86" s="21" t="s">
        <v>27</v>
      </c>
      <c r="D86" s="43" t="s">
        <v>94</v>
      </c>
      <c r="E86" s="43" t="s">
        <v>49</v>
      </c>
      <c r="F86" s="43" t="s">
        <v>198</v>
      </c>
      <c r="G86" s="45">
        <v>25000.0</v>
      </c>
    </row>
    <row r="87" ht="15.75" customHeight="1">
      <c r="A87" s="42">
        <v>46193.0</v>
      </c>
      <c r="B87" s="43" t="s">
        <v>30</v>
      </c>
      <c r="C87" s="21" t="s">
        <v>27</v>
      </c>
      <c r="D87" s="43" t="s">
        <v>66</v>
      </c>
      <c r="E87" s="43" t="s">
        <v>34</v>
      </c>
      <c r="F87" s="43" t="s">
        <v>199</v>
      </c>
      <c r="G87" s="45">
        <v>319665.0</v>
      </c>
    </row>
    <row r="88" ht="15.75" customHeight="1">
      <c r="A88" s="42">
        <v>46193.0</v>
      </c>
      <c r="B88" s="43" t="s">
        <v>29</v>
      </c>
      <c r="C88" s="21" t="s">
        <v>27</v>
      </c>
      <c r="D88" s="43" t="s">
        <v>79</v>
      </c>
      <c r="E88" s="43" t="s">
        <v>45</v>
      </c>
      <c r="F88" s="43" t="s">
        <v>200</v>
      </c>
      <c r="G88" s="45">
        <v>37376.0</v>
      </c>
    </row>
    <row r="89" ht="15.75" customHeight="1">
      <c r="A89" s="42">
        <v>46194.0</v>
      </c>
      <c r="B89" s="21" t="s">
        <v>29</v>
      </c>
      <c r="C89" s="21" t="s">
        <v>27</v>
      </c>
      <c r="D89" s="21" t="s">
        <v>88</v>
      </c>
      <c r="E89" s="43" t="s">
        <v>25</v>
      </c>
      <c r="F89" s="21" t="s">
        <v>202</v>
      </c>
      <c r="G89" s="35">
        <v>740.0</v>
      </c>
    </row>
    <row r="90" ht="15.75" customHeight="1">
      <c r="A90" s="42">
        <v>46194.0</v>
      </c>
      <c r="B90" s="21" t="s">
        <v>29</v>
      </c>
      <c r="C90" s="21" t="s">
        <v>27</v>
      </c>
      <c r="D90" s="21" t="s">
        <v>94</v>
      </c>
      <c r="E90" s="43" t="s">
        <v>25</v>
      </c>
      <c r="F90" s="21" t="s">
        <v>203</v>
      </c>
      <c r="G90" s="35">
        <v>1247.0</v>
      </c>
    </row>
    <row r="91" ht="15.75" customHeight="1">
      <c r="A91" s="42">
        <v>46194.0</v>
      </c>
      <c r="B91" s="43" t="s">
        <v>29</v>
      </c>
      <c r="C91" s="21" t="s">
        <v>27</v>
      </c>
      <c r="D91" s="43" t="s">
        <v>98</v>
      </c>
      <c r="E91" s="21" t="s">
        <v>45</v>
      </c>
      <c r="F91" s="43" t="s">
        <v>204</v>
      </c>
      <c r="G91" s="45">
        <v>10605.84</v>
      </c>
    </row>
    <row r="92" ht="15.75" customHeight="1">
      <c r="A92" s="42">
        <v>46194.0</v>
      </c>
      <c r="B92" s="21" t="s">
        <v>29</v>
      </c>
      <c r="C92" s="21" t="s">
        <v>27</v>
      </c>
      <c r="D92" s="21" t="s">
        <v>94</v>
      </c>
      <c r="E92" s="21" t="s">
        <v>45</v>
      </c>
      <c r="F92" s="21" t="s">
        <v>205</v>
      </c>
      <c r="G92" s="35">
        <v>238311.0</v>
      </c>
    </row>
    <row r="93" ht="15.75" customHeight="1">
      <c r="A93" s="42">
        <v>46195.0</v>
      </c>
      <c r="B93" s="43" t="s">
        <v>29</v>
      </c>
      <c r="C93" s="21" t="s">
        <v>27</v>
      </c>
      <c r="D93" s="43" t="s">
        <v>119</v>
      </c>
      <c r="E93" s="43" t="s">
        <v>25</v>
      </c>
      <c r="F93" s="43" t="s">
        <v>206</v>
      </c>
      <c r="G93" s="45">
        <v>1600.0</v>
      </c>
    </row>
    <row r="94" ht="15.75" customHeight="1">
      <c r="A94" s="42">
        <v>46195.0</v>
      </c>
      <c r="B94" s="43" t="s">
        <v>29</v>
      </c>
      <c r="C94" s="21" t="s">
        <v>33</v>
      </c>
      <c r="D94" s="21" t="s">
        <v>33</v>
      </c>
      <c r="E94" s="43" t="s">
        <v>25</v>
      </c>
      <c r="F94" s="43" t="s">
        <v>207</v>
      </c>
      <c r="G94" s="45">
        <v>16215.0</v>
      </c>
    </row>
    <row r="95" ht="15.75" customHeight="1">
      <c r="A95" s="42">
        <v>46196.0</v>
      </c>
      <c r="B95" s="43" t="s">
        <v>29</v>
      </c>
      <c r="C95" s="21" t="s">
        <v>27</v>
      </c>
      <c r="D95" s="43" t="s">
        <v>72</v>
      </c>
      <c r="E95" s="43" t="s">
        <v>49</v>
      </c>
      <c r="F95" s="43" t="s">
        <v>209</v>
      </c>
      <c r="G95" s="45">
        <v>5.61</v>
      </c>
    </row>
    <row r="96" ht="15.75" customHeight="1">
      <c r="A96" s="42">
        <v>46196.0</v>
      </c>
      <c r="B96" s="43" t="s">
        <v>29</v>
      </c>
      <c r="C96" s="21" t="s">
        <v>27</v>
      </c>
      <c r="D96" s="43" t="s">
        <v>72</v>
      </c>
      <c r="E96" s="43" t="s">
        <v>49</v>
      </c>
      <c r="F96" s="43" t="s">
        <v>210</v>
      </c>
      <c r="G96" s="45">
        <v>5.61</v>
      </c>
    </row>
    <row r="97" ht="15.75" customHeight="1">
      <c r="A97" s="42">
        <v>46196.0</v>
      </c>
      <c r="B97" s="43" t="s">
        <v>30</v>
      </c>
      <c r="C97" s="21" t="s">
        <v>27</v>
      </c>
      <c r="D97" s="21" t="s">
        <v>78</v>
      </c>
      <c r="E97" s="43" t="s">
        <v>49</v>
      </c>
      <c r="F97" s="43" t="s">
        <v>211</v>
      </c>
      <c r="G97" s="45">
        <v>50000.0</v>
      </c>
    </row>
    <row r="98" ht="15.75" customHeight="1">
      <c r="A98" s="42">
        <v>46196.0</v>
      </c>
      <c r="B98" s="43" t="s">
        <v>30</v>
      </c>
      <c r="C98" s="21" t="s">
        <v>27</v>
      </c>
      <c r="D98" s="43" t="s">
        <v>94</v>
      </c>
      <c r="E98" s="43" t="s">
        <v>49</v>
      </c>
      <c r="F98" s="43" t="s">
        <v>212</v>
      </c>
      <c r="G98" s="45">
        <v>45000.0</v>
      </c>
    </row>
    <row r="99" ht="15.75" customHeight="1">
      <c r="A99" s="52">
        <v>46197.0</v>
      </c>
      <c r="B99" s="43" t="s">
        <v>24</v>
      </c>
      <c r="C99" s="21" t="s">
        <v>27</v>
      </c>
      <c r="D99" s="43" t="s">
        <v>86</v>
      </c>
      <c r="E99" s="43" t="s">
        <v>41</v>
      </c>
      <c r="F99" s="21" t="s">
        <v>213</v>
      </c>
      <c r="G99" s="45">
        <v>38470.0</v>
      </c>
    </row>
    <row r="100" ht="15.75" customHeight="1">
      <c r="A100" s="52">
        <v>46197.0</v>
      </c>
      <c r="B100" s="43" t="s">
        <v>24</v>
      </c>
      <c r="C100" s="21" t="s">
        <v>27</v>
      </c>
      <c r="D100" s="43" t="s">
        <v>86</v>
      </c>
      <c r="E100" s="43" t="s">
        <v>41</v>
      </c>
      <c r="F100" s="21" t="s">
        <v>214</v>
      </c>
      <c r="G100" s="45">
        <v>38470.0</v>
      </c>
    </row>
    <row r="101" ht="15.75" customHeight="1">
      <c r="A101" s="52">
        <v>46197.0</v>
      </c>
      <c r="B101" s="43" t="s">
        <v>24</v>
      </c>
      <c r="C101" s="21" t="s">
        <v>27</v>
      </c>
      <c r="D101" s="43" t="s">
        <v>86</v>
      </c>
      <c r="E101" s="43" t="s">
        <v>41</v>
      </c>
      <c r="F101" s="21" t="s">
        <v>216</v>
      </c>
      <c r="G101" s="45">
        <v>38470.0</v>
      </c>
    </row>
    <row r="102" ht="15.75" customHeight="1">
      <c r="A102" s="52">
        <v>46197.0</v>
      </c>
      <c r="B102" s="43" t="s">
        <v>24</v>
      </c>
      <c r="C102" s="21" t="s">
        <v>33</v>
      </c>
      <c r="D102" s="21" t="s">
        <v>33</v>
      </c>
      <c r="E102" s="43" t="s">
        <v>49</v>
      </c>
      <c r="F102" s="43" t="s">
        <v>217</v>
      </c>
      <c r="G102" s="45">
        <v>71440.0</v>
      </c>
    </row>
    <row r="103" ht="15.75" customHeight="1">
      <c r="A103" s="42">
        <v>46197.0</v>
      </c>
      <c r="B103" s="43" t="s">
        <v>29</v>
      </c>
      <c r="C103" s="21" t="s">
        <v>27</v>
      </c>
      <c r="D103" s="43" t="s">
        <v>72</v>
      </c>
      <c r="E103" s="43" t="s">
        <v>49</v>
      </c>
      <c r="F103" s="43" t="s">
        <v>219</v>
      </c>
      <c r="G103" s="45">
        <v>5.61</v>
      </c>
    </row>
    <row r="104" ht="15.75" customHeight="1">
      <c r="A104" s="42">
        <v>46197.0</v>
      </c>
      <c r="B104" s="43" t="s">
        <v>29</v>
      </c>
      <c r="C104" s="21" t="s">
        <v>27</v>
      </c>
      <c r="D104" s="43" t="s">
        <v>72</v>
      </c>
      <c r="E104" s="43" t="s">
        <v>49</v>
      </c>
      <c r="F104" s="43" t="s">
        <v>221</v>
      </c>
      <c r="G104" s="45">
        <v>5.61</v>
      </c>
    </row>
    <row r="105" ht="15.75" customHeight="1">
      <c r="A105" s="42">
        <v>46197.0</v>
      </c>
      <c r="B105" s="43" t="s">
        <v>29</v>
      </c>
      <c r="C105" s="21" t="s">
        <v>33</v>
      </c>
      <c r="D105" s="21" t="s">
        <v>33</v>
      </c>
      <c r="E105" s="43" t="s">
        <v>25</v>
      </c>
      <c r="F105" s="43" t="s">
        <v>222</v>
      </c>
      <c r="G105" s="45">
        <v>19915.0</v>
      </c>
    </row>
    <row r="106" ht="15.75" customHeight="1">
      <c r="A106" s="42">
        <v>46197.0</v>
      </c>
      <c r="B106" s="43" t="s">
        <v>29</v>
      </c>
      <c r="C106" s="21" t="s">
        <v>33</v>
      </c>
      <c r="D106" s="21" t="s">
        <v>33</v>
      </c>
      <c r="E106" s="43" t="s">
        <v>49</v>
      </c>
      <c r="F106" s="43" t="s">
        <v>195</v>
      </c>
      <c r="G106" s="45">
        <v>10626.0</v>
      </c>
    </row>
    <row r="107" ht="15.75" customHeight="1">
      <c r="A107" s="42">
        <v>46197.0</v>
      </c>
      <c r="B107" s="43" t="s">
        <v>24</v>
      </c>
      <c r="C107" s="21" t="s">
        <v>33</v>
      </c>
      <c r="D107" s="21" t="s">
        <v>33</v>
      </c>
      <c r="E107" s="43" t="s">
        <v>49</v>
      </c>
      <c r="F107" s="43" t="s">
        <v>223</v>
      </c>
      <c r="G107" s="45">
        <v>59447.0</v>
      </c>
    </row>
    <row r="108" ht="15.75" customHeight="1">
      <c r="A108" s="42">
        <v>46198.0</v>
      </c>
      <c r="B108" s="43" t="s">
        <v>29</v>
      </c>
      <c r="C108" s="21" t="s">
        <v>33</v>
      </c>
      <c r="D108" s="21" t="s">
        <v>33</v>
      </c>
      <c r="E108" s="43" t="s">
        <v>25</v>
      </c>
      <c r="F108" s="43" t="s">
        <v>207</v>
      </c>
      <c r="G108" s="45">
        <v>19710.0</v>
      </c>
    </row>
    <row r="109" ht="15.75" customHeight="1">
      <c r="A109" s="42">
        <v>46199.0</v>
      </c>
      <c r="B109" s="43" t="s">
        <v>29</v>
      </c>
      <c r="C109" s="21" t="s">
        <v>27</v>
      </c>
      <c r="D109" s="43" t="s">
        <v>94</v>
      </c>
      <c r="E109" s="43" t="s">
        <v>25</v>
      </c>
      <c r="F109" s="43" t="s">
        <v>226</v>
      </c>
      <c r="G109" s="45">
        <v>7400.0</v>
      </c>
    </row>
    <row r="110" ht="15.75" customHeight="1">
      <c r="A110" s="42">
        <v>46199.0</v>
      </c>
      <c r="B110" s="43" t="s">
        <v>30</v>
      </c>
      <c r="C110" s="21" t="s">
        <v>27</v>
      </c>
      <c r="D110" s="43" t="s">
        <v>78</v>
      </c>
      <c r="E110" s="43" t="s">
        <v>45</v>
      </c>
      <c r="F110" s="43" t="s">
        <v>228</v>
      </c>
      <c r="G110" s="45">
        <v>37500.0</v>
      </c>
    </row>
    <row r="111" ht="15.75" customHeight="1">
      <c r="A111" s="42">
        <v>46200.0</v>
      </c>
      <c r="B111" s="43" t="s">
        <v>24</v>
      </c>
      <c r="C111" s="21" t="s">
        <v>27</v>
      </c>
      <c r="D111" s="43" t="s">
        <v>88</v>
      </c>
      <c r="E111" s="43" t="s">
        <v>25</v>
      </c>
      <c r="F111" s="43" t="s">
        <v>231</v>
      </c>
      <c r="G111" s="45">
        <v>300.0</v>
      </c>
    </row>
    <row r="112" ht="15.75" customHeight="1">
      <c r="A112" s="42">
        <v>46200.0</v>
      </c>
      <c r="B112" s="43" t="s">
        <v>29</v>
      </c>
      <c r="C112" s="21" t="s">
        <v>27</v>
      </c>
      <c r="D112" s="43" t="s">
        <v>72</v>
      </c>
      <c r="E112" s="43" t="s">
        <v>49</v>
      </c>
      <c r="F112" s="43"/>
      <c r="G112" s="45">
        <v>67.29</v>
      </c>
    </row>
    <row r="113" ht="15.75" customHeight="1">
      <c r="A113" s="42">
        <v>46200.0</v>
      </c>
      <c r="B113" s="43" t="s">
        <v>29</v>
      </c>
      <c r="C113" s="21" t="s">
        <v>27</v>
      </c>
      <c r="D113" s="43" t="s">
        <v>72</v>
      </c>
      <c r="E113" s="21" t="s">
        <v>45</v>
      </c>
      <c r="F113" s="43"/>
      <c r="G113" s="35">
        <v>28.0</v>
      </c>
    </row>
    <row r="114" ht="15.75" customHeight="1">
      <c r="A114" s="42">
        <v>46200.0</v>
      </c>
      <c r="B114" s="43" t="s">
        <v>24</v>
      </c>
      <c r="C114" s="21" t="s">
        <v>27</v>
      </c>
      <c r="D114" s="43" t="s">
        <v>79</v>
      </c>
      <c r="E114" s="43" t="s">
        <v>45</v>
      </c>
      <c r="F114" s="43" t="s">
        <v>237</v>
      </c>
      <c r="G114" s="45">
        <v>4508.0</v>
      </c>
    </row>
    <row r="115" ht="15.75" customHeight="1">
      <c r="A115" s="42">
        <v>46200.0</v>
      </c>
      <c r="B115" s="43" t="s">
        <v>29</v>
      </c>
      <c r="C115" s="21" t="s">
        <v>27</v>
      </c>
      <c r="D115" s="43" t="s">
        <v>79</v>
      </c>
      <c r="E115" s="43" t="s">
        <v>45</v>
      </c>
      <c r="F115" s="43" t="s">
        <v>238</v>
      </c>
      <c r="G115" s="45">
        <v>47790.0</v>
      </c>
    </row>
    <row r="116" ht="15.75" customHeight="1">
      <c r="A116" s="42">
        <v>46201.0</v>
      </c>
      <c r="B116" s="43" t="s">
        <v>30</v>
      </c>
      <c r="C116" s="21" t="s">
        <v>27</v>
      </c>
      <c r="D116" s="43" t="s">
        <v>94</v>
      </c>
      <c r="E116" s="43" t="s">
        <v>45</v>
      </c>
      <c r="F116" s="43" t="s">
        <v>239</v>
      </c>
      <c r="G116" s="45">
        <v>12680.0</v>
      </c>
    </row>
    <row r="117" ht="15.75" customHeight="1">
      <c r="A117" s="42">
        <v>46202.0</v>
      </c>
      <c r="B117" s="43" t="s">
        <v>29</v>
      </c>
      <c r="C117" s="21" t="s">
        <v>27</v>
      </c>
      <c r="D117" s="43" t="s">
        <v>72</v>
      </c>
      <c r="E117" s="43" t="s">
        <v>49</v>
      </c>
      <c r="F117" s="43" t="s">
        <v>240</v>
      </c>
      <c r="G117" s="45">
        <v>1500.0</v>
      </c>
    </row>
    <row r="118" ht="15.75" customHeight="1">
      <c r="A118" s="52">
        <v>46202.0</v>
      </c>
      <c r="B118" s="21" t="s">
        <v>29</v>
      </c>
      <c r="C118" s="21" t="s">
        <v>27</v>
      </c>
      <c r="D118" s="43" t="s">
        <v>83</v>
      </c>
      <c r="E118" s="43" t="s">
        <v>45</v>
      </c>
      <c r="F118" s="43" t="s">
        <v>113</v>
      </c>
      <c r="G118" s="35">
        <v>1144.0</v>
      </c>
    </row>
    <row r="119" ht="15.75" customHeight="1">
      <c r="A119" s="42">
        <v>46202.0</v>
      </c>
      <c r="B119" s="43" t="s">
        <v>24</v>
      </c>
      <c r="C119" s="21" t="s">
        <v>33</v>
      </c>
      <c r="D119" s="21" t="s">
        <v>33</v>
      </c>
      <c r="E119" s="43" t="s">
        <v>49</v>
      </c>
      <c r="F119" s="43" t="s">
        <v>241</v>
      </c>
      <c r="G119" s="45">
        <v>109322.0</v>
      </c>
    </row>
    <row r="120" ht="15.75" customHeight="1">
      <c r="A120" s="42">
        <v>46203.0</v>
      </c>
      <c r="B120" s="43" t="s">
        <v>30</v>
      </c>
      <c r="C120" s="21" t="s">
        <v>27</v>
      </c>
      <c r="D120" s="43" t="s">
        <v>66</v>
      </c>
      <c r="E120" s="43" t="s">
        <v>25</v>
      </c>
      <c r="F120" s="43" t="s">
        <v>242</v>
      </c>
      <c r="G120" s="45">
        <v>1900.0</v>
      </c>
    </row>
    <row r="121" ht="15.75" customHeight="1">
      <c r="A121" s="42">
        <v>46203.0</v>
      </c>
      <c r="B121" s="43" t="s">
        <v>29</v>
      </c>
      <c r="C121" s="21" t="s">
        <v>27</v>
      </c>
      <c r="D121" s="43" t="s">
        <v>65</v>
      </c>
      <c r="E121" s="43" t="s">
        <v>49</v>
      </c>
      <c r="F121" s="43" t="s">
        <v>243</v>
      </c>
      <c r="G121" s="45">
        <v>1989.0</v>
      </c>
    </row>
    <row r="122" ht="15.75" customHeight="1">
      <c r="A122" s="42">
        <v>46203.0</v>
      </c>
      <c r="B122" s="21" t="s">
        <v>30</v>
      </c>
      <c r="C122" s="21" t="s">
        <v>27</v>
      </c>
      <c r="D122" s="43" t="s">
        <v>66</v>
      </c>
      <c r="E122" s="21" t="s">
        <v>45</v>
      </c>
      <c r="F122" s="21" t="s">
        <v>244</v>
      </c>
      <c r="G122" s="35">
        <v>541.0</v>
      </c>
    </row>
    <row r="123" ht="15.75" customHeight="1">
      <c r="A123" s="42">
        <v>46203.0</v>
      </c>
      <c r="B123" s="43" t="s">
        <v>29</v>
      </c>
      <c r="C123" s="21" t="s">
        <v>33</v>
      </c>
      <c r="D123" s="21" t="s">
        <v>33</v>
      </c>
      <c r="E123" s="43" t="s">
        <v>49</v>
      </c>
      <c r="F123" s="43" t="s">
        <v>245</v>
      </c>
      <c r="G123" s="45">
        <v>18250.0</v>
      </c>
    </row>
    <row r="124" ht="15.75" customHeight="1">
      <c r="A124" s="52">
        <v>46203.0</v>
      </c>
      <c r="B124" s="21" t="s">
        <v>29</v>
      </c>
      <c r="C124" s="21" t="s">
        <v>27</v>
      </c>
      <c r="D124" s="21" t="s">
        <v>65</v>
      </c>
      <c r="E124" s="21" t="s">
        <v>54</v>
      </c>
      <c r="F124" s="63" t="s">
        <v>246</v>
      </c>
      <c r="G124" s="35">
        <v>87671.0</v>
      </c>
    </row>
    <row r="125" ht="15.75" customHeight="1">
      <c r="A125" s="42">
        <v>46204.0</v>
      </c>
      <c r="B125" s="43" t="s">
        <v>30</v>
      </c>
      <c r="C125" s="21" t="s">
        <v>27</v>
      </c>
      <c r="D125" s="43" t="s">
        <v>109</v>
      </c>
      <c r="E125" s="43" t="s">
        <v>25</v>
      </c>
      <c r="F125" s="43" t="s">
        <v>247</v>
      </c>
      <c r="G125" s="45">
        <v>3400.0</v>
      </c>
    </row>
    <row r="126" ht="15.75" customHeight="1">
      <c r="A126" s="52">
        <v>46205.0</v>
      </c>
      <c r="B126" s="21" t="s">
        <v>29</v>
      </c>
      <c r="C126" s="21" t="s">
        <v>36</v>
      </c>
      <c r="D126" s="21" t="s">
        <v>36</v>
      </c>
      <c r="E126" s="21" t="s">
        <v>49</v>
      </c>
      <c r="F126" s="63" t="s">
        <v>68</v>
      </c>
      <c r="G126" s="35">
        <v>87671.0</v>
      </c>
    </row>
    <row r="127" ht="15.75" customHeight="1">
      <c r="A127" s="42">
        <v>46206.0</v>
      </c>
      <c r="B127" s="43" t="s">
        <v>29</v>
      </c>
      <c r="C127" s="21" t="s">
        <v>27</v>
      </c>
      <c r="D127" s="43" t="s">
        <v>78</v>
      </c>
      <c r="E127" s="43" t="s">
        <v>49</v>
      </c>
      <c r="F127" s="43" t="s">
        <v>248</v>
      </c>
      <c r="G127" s="45">
        <v>31100.0</v>
      </c>
    </row>
    <row r="128" ht="15.75" customHeight="1">
      <c r="A128" s="52">
        <v>46206.0</v>
      </c>
      <c r="B128" s="21" t="s">
        <v>29</v>
      </c>
      <c r="C128" s="21" t="s">
        <v>27</v>
      </c>
      <c r="D128" s="21" t="s">
        <v>88</v>
      </c>
      <c r="E128" s="21" t="s">
        <v>45</v>
      </c>
      <c r="F128" s="21" t="s">
        <v>249</v>
      </c>
      <c r="G128" s="35">
        <v>2810.0</v>
      </c>
    </row>
    <row r="129" ht="15.75" customHeight="1">
      <c r="A129" s="42">
        <v>46207.0</v>
      </c>
      <c r="B129" s="43" t="s">
        <v>29</v>
      </c>
      <c r="C129" s="21" t="s">
        <v>27</v>
      </c>
      <c r="D129" s="43" t="s">
        <v>78</v>
      </c>
      <c r="E129" s="43" t="s">
        <v>25</v>
      </c>
      <c r="F129" s="43" t="s">
        <v>250</v>
      </c>
      <c r="G129" s="45">
        <v>10640.0</v>
      </c>
    </row>
    <row r="130" ht="15.75" customHeight="1">
      <c r="A130" s="42">
        <v>46207.0</v>
      </c>
      <c r="B130" s="43" t="s">
        <v>29</v>
      </c>
      <c r="C130" s="21" t="s">
        <v>27</v>
      </c>
      <c r="D130" s="43" t="s">
        <v>94</v>
      </c>
      <c r="E130" s="43" t="s">
        <v>25</v>
      </c>
      <c r="F130" s="43" t="s">
        <v>251</v>
      </c>
      <c r="G130" s="45">
        <v>769.0</v>
      </c>
    </row>
    <row r="131" ht="15.75" customHeight="1">
      <c r="A131" s="42">
        <v>46207.0</v>
      </c>
      <c r="B131" s="43" t="s">
        <v>30</v>
      </c>
      <c r="C131" s="21" t="s">
        <v>27</v>
      </c>
      <c r="D131" s="43" t="s">
        <v>66</v>
      </c>
      <c r="E131" s="43" t="s">
        <v>25</v>
      </c>
      <c r="F131" s="43" t="s">
        <v>252</v>
      </c>
      <c r="G131" s="45">
        <v>2240.0</v>
      </c>
    </row>
    <row r="132" ht="15.75" customHeight="1">
      <c r="A132" s="42">
        <v>46207.0</v>
      </c>
      <c r="B132" s="43" t="s">
        <v>30</v>
      </c>
      <c r="C132" s="21" t="s">
        <v>27</v>
      </c>
      <c r="D132" s="43" t="s">
        <v>94</v>
      </c>
      <c r="E132" s="43" t="s">
        <v>49</v>
      </c>
      <c r="F132" s="43" t="s">
        <v>253</v>
      </c>
      <c r="G132" s="45">
        <v>41835.0</v>
      </c>
    </row>
    <row r="133" ht="15.75" customHeight="1">
      <c r="A133" s="42">
        <v>46207.0</v>
      </c>
      <c r="B133" s="43" t="s">
        <v>30</v>
      </c>
      <c r="C133" s="21" t="s">
        <v>27</v>
      </c>
      <c r="D133" s="43" t="s">
        <v>94</v>
      </c>
      <c r="E133" s="43" t="s">
        <v>49</v>
      </c>
      <c r="F133" s="43" t="s">
        <v>254</v>
      </c>
      <c r="G133" s="45">
        <v>5260.0</v>
      </c>
    </row>
    <row r="134" ht="15.75" customHeight="1">
      <c r="A134" s="42">
        <v>46207.0</v>
      </c>
      <c r="B134" s="43" t="s">
        <v>30</v>
      </c>
      <c r="C134" s="21" t="s">
        <v>27</v>
      </c>
      <c r="D134" s="21" t="s">
        <v>78</v>
      </c>
      <c r="E134" s="43" t="s">
        <v>45</v>
      </c>
      <c r="F134" s="43" t="s">
        <v>255</v>
      </c>
      <c r="G134" s="45">
        <v>50000.0</v>
      </c>
    </row>
    <row r="135" ht="15.75" customHeight="1">
      <c r="A135" s="42">
        <v>46207.0</v>
      </c>
      <c r="B135" s="43" t="s">
        <v>24</v>
      </c>
      <c r="C135" s="21" t="s">
        <v>27</v>
      </c>
      <c r="D135" s="43" t="s">
        <v>79</v>
      </c>
      <c r="E135" s="43" t="s">
        <v>45</v>
      </c>
      <c r="F135" s="85" t="s">
        <v>256</v>
      </c>
      <c r="G135" s="45">
        <v>7031.0</v>
      </c>
    </row>
    <row r="136" ht="15.75" customHeight="1">
      <c r="A136" s="42">
        <v>46207.0</v>
      </c>
      <c r="B136" s="43" t="s">
        <v>29</v>
      </c>
      <c r="C136" s="21" t="s">
        <v>27</v>
      </c>
      <c r="D136" s="43" t="s">
        <v>94</v>
      </c>
      <c r="E136" s="43" t="s">
        <v>45</v>
      </c>
      <c r="F136" s="43" t="s">
        <v>257</v>
      </c>
      <c r="G136" s="45">
        <v>2349.0</v>
      </c>
    </row>
    <row r="137" ht="15.75" customHeight="1">
      <c r="A137" s="42">
        <v>46207.0</v>
      </c>
      <c r="B137" s="43" t="s">
        <v>29</v>
      </c>
      <c r="C137" s="21" t="s">
        <v>27</v>
      </c>
      <c r="D137" s="43" t="s">
        <v>120</v>
      </c>
      <c r="E137" s="43" t="s">
        <v>45</v>
      </c>
      <c r="F137" s="43" t="s">
        <v>259</v>
      </c>
      <c r="G137" s="45">
        <v>1800.0</v>
      </c>
    </row>
    <row r="138" ht="15.75" customHeight="1">
      <c r="A138" s="42">
        <v>46207.0</v>
      </c>
      <c r="B138" s="43" t="s">
        <v>29</v>
      </c>
      <c r="C138" s="21" t="s">
        <v>27</v>
      </c>
      <c r="D138" s="43" t="s">
        <v>78</v>
      </c>
      <c r="E138" s="43" t="s">
        <v>45</v>
      </c>
      <c r="F138" s="43" t="s">
        <v>261</v>
      </c>
      <c r="G138" s="45">
        <v>300.0</v>
      </c>
    </row>
    <row r="139" ht="15.75" customHeight="1">
      <c r="A139" s="42">
        <v>46207.0</v>
      </c>
      <c r="B139" s="43" t="s">
        <v>29</v>
      </c>
      <c r="C139" s="21" t="s">
        <v>27</v>
      </c>
      <c r="D139" s="43" t="s">
        <v>79</v>
      </c>
      <c r="E139" s="43" t="s">
        <v>45</v>
      </c>
      <c r="F139" s="85" t="s">
        <v>262</v>
      </c>
      <c r="G139" s="45">
        <v>37819.0</v>
      </c>
    </row>
    <row r="140" ht="15.75" customHeight="1">
      <c r="A140" s="42">
        <v>46208.0</v>
      </c>
      <c r="B140" s="43" t="s">
        <v>30</v>
      </c>
      <c r="C140" s="21" t="s">
        <v>27</v>
      </c>
      <c r="D140" s="43" t="s">
        <v>66</v>
      </c>
      <c r="E140" s="43" t="s">
        <v>25</v>
      </c>
      <c r="F140" s="43" t="s">
        <v>263</v>
      </c>
      <c r="G140" s="45">
        <v>2000.0</v>
      </c>
    </row>
    <row r="141" ht="15.75" customHeight="1">
      <c r="A141" s="42">
        <v>46209.0</v>
      </c>
      <c r="B141" s="43" t="s">
        <v>29</v>
      </c>
      <c r="C141" s="21" t="s">
        <v>27</v>
      </c>
      <c r="D141" s="43" t="s">
        <v>94</v>
      </c>
      <c r="E141" s="43" t="s">
        <v>25</v>
      </c>
      <c r="F141" s="43" t="s">
        <v>264</v>
      </c>
      <c r="G141" s="45">
        <v>15125.0</v>
      </c>
    </row>
    <row r="142" ht="15.75" customHeight="1">
      <c r="A142" s="42">
        <v>46209.0</v>
      </c>
      <c r="B142" s="43" t="s">
        <v>29</v>
      </c>
      <c r="C142" s="21" t="s">
        <v>27</v>
      </c>
      <c r="D142" s="43" t="s">
        <v>72</v>
      </c>
      <c r="E142" s="43" t="s">
        <v>49</v>
      </c>
      <c r="F142" s="43"/>
      <c r="G142" s="45">
        <v>28.63</v>
      </c>
    </row>
    <row r="143" ht="15.75" customHeight="1">
      <c r="A143" s="42">
        <v>46209.0</v>
      </c>
      <c r="B143" s="43" t="s">
        <v>29</v>
      </c>
      <c r="C143" s="21" t="s">
        <v>33</v>
      </c>
      <c r="D143" s="21" t="s">
        <v>33</v>
      </c>
      <c r="E143" s="43" t="s">
        <v>49</v>
      </c>
      <c r="F143" s="43" t="s">
        <v>195</v>
      </c>
      <c r="G143" s="45">
        <v>28453.0</v>
      </c>
    </row>
    <row r="144" ht="15.75" customHeight="1">
      <c r="A144" s="42">
        <v>46210.0</v>
      </c>
      <c r="B144" s="43" t="s">
        <v>30</v>
      </c>
      <c r="C144" s="21" t="s">
        <v>27</v>
      </c>
      <c r="D144" s="43" t="s">
        <v>66</v>
      </c>
      <c r="E144" s="43" t="s">
        <v>25</v>
      </c>
      <c r="F144" s="43" t="s">
        <v>267</v>
      </c>
      <c r="G144" s="45">
        <v>4000.0</v>
      </c>
    </row>
    <row r="145" ht="15.75" customHeight="1">
      <c r="A145" s="42">
        <v>46210.0</v>
      </c>
      <c r="B145" s="43" t="s">
        <v>29</v>
      </c>
      <c r="C145" s="21" t="s">
        <v>27</v>
      </c>
      <c r="D145" s="43" t="s">
        <v>78</v>
      </c>
      <c r="E145" s="43" t="s">
        <v>25</v>
      </c>
      <c r="F145" s="43" t="s">
        <v>268</v>
      </c>
      <c r="G145" s="45">
        <v>5000.0</v>
      </c>
    </row>
    <row r="146" ht="15.75" customHeight="1">
      <c r="A146" s="42">
        <v>46210.0</v>
      </c>
      <c r="B146" s="43" t="s">
        <v>29</v>
      </c>
      <c r="C146" s="21" t="s">
        <v>33</v>
      </c>
      <c r="D146" s="21" t="s">
        <v>33</v>
      </c>
      <c r="E146" s="43" t="s">
        <v>49</v>
      </c>
      <c r="F146" s="43" t="s">
        <v>270</v>
      </c>
      <c r="G146" s="45">
        <v>106889.0</v>
      </c>
    </row>
    <row r="147" ht="15.75" customHeight="1">
      <c r="A147" s="42">
        <v>46211.0</v>
      </c>
      <c r="B147" s="43" t="s">
        <v>30</v>
      </c>
      <c r="C147" s="21" t="s">
        <v>27</v>
      </c>
      <c r="D147" s="43" t="s">
        <v>94</v>
      </c>
      <c r="E147" s="43" t="s">
        <v>45</v>
      </c>
      <c r="F147" s="43" t="s">
        <v>271</v>
      </c>
      <c r="G147" s="45">
        <v>1290.0</v>
      </c>
    </row>
    <row r="148" ht="15.75" customHeight="1">
      <c r="A148" s="42">
        <v>46211.0</v>
      </c>
      <c r="B148" s="43" t="s">
        <v>30</v>
      </c>
      <c r="C148" s="21" t="s">
        <v>27</v>
      </c>
      <c r="D148" s="43" t="s">
        <v>78</v>
      </c>
      <c r="E148" s="43" t="s">
        <v>45</v>
      </c>
      <c r="F148" s="43" t="s">
        <v>272</v>
      </c>
      <c r="G148" s="35">
        <v>18850.0</v>
      </c>
    </row>
    <row r="149" ht="15.75" customHeight="1">
      <c r="A149" s="42">
        <v>46211.0</v>
      </c>
      <c r="B149" s="43" t="s">
        <v>30</v>
      </c>
      <c r="C149" s="21" t="s">
        <v>27</v>
      </c>
      <c r="D149" s="43" t="s">
        <v>79</v>
      </c>
      <c r="E149" s="43" t="s">
        <v>45</v>
      </c>
      <c r="F149" s="85" t="s">
        <v>273</v>
      </c>
      <c r="G149" s="45">
        <v>795.0</v>
      </c>
    </row>
    <row r="150" ht="15.75" customHeight="1">
      <c r="A150" s="42">
        <v>46212.0</v>
      </c>
      <c r="B150" s="43" t="s">
        <v>30</v>
      </c>
      <c r="C150" s="21" t="s">
        <v>27</v>
      </c>
      <c r="D150" s="43" t="s">
        <v>79</v>
      </c>
      <c r="E150" s="43" t="s">
        <v>49</v>
      </c>
      <c r="F150" s="43" t="s">
        <v>274</v>
      </c>
      <c r="G150" s="45">
        <v>22000.0</v>
      </c>
    </row>
    <row r="151" ht="15.75" customHeight="1">
      <c r="A151" s="42">
        <v>46213.0</v>
      </c>
      <c r="B151" s="43" t="s">
        <v>24</v>
      </c>
      <c r="C151" s="21" t="s">
        <v>27</v>
      </c>
      <c r="D151" s="43" t="s">
        <v>86</v>
      </c>
      <c r="E151" s="43" t="s">
        <v>41</v>
      </c>
      <c r="F151" s="43" t="s">
        <v>276</v>
      </c>
      <c r="G151" s="45">
        <v>38470.0</v>
      </c>
    </row>
    <row r="152" ht="15.75" customHeight="1">
      <c r="A152" s="42">
        <v>46213.0</v>
      </c>
      <c r="B152" s="43" t="s">
        <v>30</v>
      </c>
      <c r="C152" s="21" t="s">
        <v>27</v>
      </c>
      <c r="D152" s="43" t="s">
        <v>66</v>
      </c>
      <c r="E152" s="43" t="s">
        <v>25</v>
      </c>
      <c r="F152" s="43" t="s">
        <v>278</v>
      </c>
      <c r="G152" s="45">
        <v>2000.0</v>
      </c>
    </row>
    <row r="153" ht="15.75" customHeight="1">
      <c r="A153" s="42">
        <v>46213.0</v>
      </c>
      <c r="B153" s="43" t="s">
        <v>30</v>
      </c>
      <c r="C153" s="21" t="s">
        <v>27</v>
      </c>
      <c r="D153" s="43" t="s">
        <v>78</v>
      </c>
      <c r="E153" s="43" t="s">
        <v>45</v>
      </c>
      <c r="F153" s="43" t="s">
        <v>281</v>
      </c>
      <c r="G153" s="35">
        <v>19175.0</v>
      </c>
    </row>
    <row r="154" ht="15.75" customHeight="1">
      <c r="A154" s="42">
        <v>46213.0</v>
      </c>
      <c r="B154" s="43" t="s">
        <v>29</v>
      </c>
      <c r="C154" s="21" t="s">
        <v>27</v>
      </c>
      <c r="D154" s="43" t="s">
        <v>94</v>
      </c>
      <c r="E154" s="43" t="s">
        <v>45</v>
      </c>
      <c r="F154" s="43" t="s">
        <v>283</v>
      </c>
      <c r="G154" s="45">
        <v>2200.0</v>
      </c>
    </row>
    <row r="155" ht="15.75" customHeight="1">
      <c r="A155" s="42">
        <v>46213.0</v>
      </c>
      <c r="B155" s="43" t="s">
        <v>29</v>
      </c>
      <c r="C155" s="21" t="s">
        <v>27</v>
      </c>
      <c r="D155" s="43" t="s">
        <v>94</v>
      </c>
      <c r="E155" s="43" t="s">
        <v>45</v>
      </c>
      <c r="F155" s="43" t="s">
        <v>284</v>
      </c>
      <c r="G155" s="45">
        <v>1935.0</v>
      </c>
    </row>
    <row r="156" ht="15.75" customHeight="1">
      <c r="A156" s="42">
        <v>46214.0</v>
      </c>
      <c r="B156" s="43" t="s">
        <v>29</v>
      </c>
      <c r="C156" s="21" t="s">
        <v>27</v>
      </c>
      <c r="D156" s="43" t="s">
        <v>94</v>
      </c>
      <c r="E156" s="43" t="s">
        <v>31</v>
      </c>
      <c r="F156" s="43" t="s">
        <v>285</v>
      </c>
      <c r="G156" s="45">
        <v>99415.0</v>
      </c>
    </row>
    <row r="157" ht="15.75" customHeight="1">
      <c r="A157" s="42">
        <v>46214.0</v>
      </c>
      <c r="B157" s="43" t="s">
        <v>29</v>
      </c>
      <c r="C157" s="21" t="s">
        <v>27</v>
      </c>
      <c r="D157" s="43" t="s">
        <v>94</v>
      </c>
      <c r="E157" s="43" t="s">
        <v>45</v>
      </c>
      <c r="F157" s="43" t="s">
        <v>286</v>
      </c>
      <c r="G157" s="45">
        <v>1139.0</v>
      </c>
    </row>
    <row r="158" ht="15.75" customHeight="1">
      <c r="A158" s="42">
        <v>46214.0</v>
      </c>
      <c r="B158" s="43" t="s">
        <v>24</v>
      </c>
      <c r="C158" s="21" t="s">
        <v>27</v>
      </c>
      <c r="D158" s="43" t="s">
        <v>79</v>
      </c>
      <c r="E158" s="43" t="s">
        <v>45</v>
      </c>
      <c r="F158" s="21" t="s">
        <v>287</v>
      </c>
      <c r="G158" s="45">
        <v>12602.0</v>
      </c>
    </row>
    <row r="159" ht="15.75" customHeight="1">
      <c r="A159" s="42">
        <v>46214.0</v>
      </c>
      <c r="B159" s="43" t="s">
        <v>29</v>
      </c>
      <c r="C159" s="21" t="s">
        <v>27</v>
      </c>
      <c r="D159" s="43" t="s">
        <v>79</v>
      </c>
      <c r="E159" s="43" t="s">
        <v>45</v>
      </c>
      <c r="F159" s="21" t="s">
        <v>288</v>
      </c>
      <c r="G159" s="45">
        <v>20893.0</v>
      </c>
    </row>
    <row r="160" ht="15.75" customHeight="1">
      <c r="A160" s="42">
        <v>46214.0</v>
      </c>
      <c r="B160" s="43" t="s">
        <v>30</v>
      </c>
      <c r="C160" s="21" t="s">
        <v>27</v>
      </c>
      <c r="D160" s="43" t="s">
        <v>79</v>
      </c>
      <c r="E160" s="43" t="s">
        <v>45</v>
      </c>
      <c r="F160" s="21" t="s">
        <v>289</v>
      </c>
      <c r="G160" s="45">
        <v>1961.0</v>
      </c>
    </row>
    <row r="161" ht="15.75" customHeight="1">
      <c r="A161" s="42">
        <v>46214.0</v>
      </c>
      <c r="B161" s="21" t="s">
        <v>24</v>
      </c>
      <c r="C161" s="21" t="s">
        <v>33</v>
      </c>
      <c r="D161" s="21" t="s">
        <v>33</v>
      </c>
      <c r="E161" s="21" t="s">
        <v>25</v>
      </c>
      <c r="F161" s="21" t="s">
        <v>241</v>
      </c>
      <c r="G161" s="35">
        <v>44197.0</v>
      </c>
    </row>
    <row r="162" ht="15.75" customHeight="1">
      <c r="A162" s="42">
        <v>46214.0</v>
      </c>
      <c r="B162" s="21" t="s">
        <v>29</v>
      </c>
      <c r="C162" s="21" t="s">
        <v>27</v>
      </c>
      <c r="D162" s="21" t="s">
        <v>101</v>
      </c>
      <c r="E162" s="21" t="s">
        <v>25</v>
      </c>
      <c r="F162" s="21" t="s">
        <v>291</v>
      </c>
      <c r="G162" s="35">
        <v>269.0</v>
      </c>
    </row>
    <row r="163" ht="15.75" customHeight="1">
      <c r="A163" s="52">
        <v>46216.0</v>
      </c>
      <c r="B163" s="21" t="s">
        <v>30</v>
      </c>
      <c r="C163" s="21" t="s">
        <v>27</v>
      </c>
      <c r="D163" s="21" t="s">
        <v>78</v>
      </c>
      <c r="E163" s="21" t="s">
        <v>49</v>
      </c>
      <c r="F163" s="21" t="s">
        <v>292</v>
      </c>
      <c r="G163" s="35">
        <v>100000.0</v>
      </c>
    </row>
    <row r="164" ht="15.75" customHeight="1">
      <c r="A164" s="52">
        <v>46216.0</v>
      </c>
      <c r="B164" s="21" t="s">
        <v>30</v>
      </c>
      <c r="C164" s="21" t="s">
        <v>27</v>
      </c>
      <c r="D164" s="21" t="s">
        <v>96</v>
      </c>
      <c r="E164" s="21" t="s">
        <v>25</v>
      </c>
      <c r="F164" s="21" t="s">
        <v>293</v>
      </c>
      <c r="G164" s="35">
        <v>1500.0</v>
      </c>
    </row>
    <row r="165" ht="15.75" customHeight="1">
      <c r="A165" s="52">
        <v>46216.0</v>
      </c>
      <c r="B165" s="21" t="s">
        <v>30</v>
      </c>
      <c r="C165" s="21" t="s">
        <v>27</v>
      </c>
      <c r="D165" s="21" t="s">
        <v>133</v>
      </c>
      <c r="E165" s="21" t="s">
        <v>45</v>
      </c>
      <c r="F165" s="21" t="s">
        <v>294</v>
      </c>
      <c r="G165" s="35">
        <v>500.0</v>
      </c>
    </row>
    <row r="166" ht="15.75" customHeight="1">
      <c r="A166" s="52">
        <v>46216.0</v>
      </c>
      <c r="B166" s="21" t="s">
        <v>29</v>
      </c>
      <c r="C166" s="21" t="s">
        <v>27</v>
      </c>
      <c r="D166" s="21" t="s">
        <v>94</v>
      </c>
      <c r="E166" s="21" t="s">
        <v>25</v>
      </c>
      <c r="F166" s="21" t="s">
        <v>295</v>
      </c>
      <c r="G166" s="35">
        <v>4200.0</v>
      </c>
    </row>
    <row r="167" ht="15.75" customHeight="1">
      <c r="A167" s="52">
        <v>46216.0</v>
      </c>
      <c r="B167" s="21" t="s">
        <v>30</v>
      </c>
      <c r="C167" s="21" t="s">
        <v>27</v>
      </c>
      <c r="D167" s="21" t="s">
        <v>66</v>
      </c>
      <c r="E167" s="21" t="s">
        <v>25</v>
      </c>
      <c r="F167" s="21" t="s">
        <v>297</v>
      </c>
      <c r="G167" s="35">
        <v>100.0</v>
      </c>
    </row>
    <row r="168" ht="15.75" customHeight="1">
      <c r="A168" s="52">
        <v>46216.0</v>
      </c>
      <c r="B168" s="21" t="s">
        <v>29</v>
      </c>
      <c r="C168" s="21" t="s">
        <v>27</v>
      </c>
      <c r="D168" s="21" t="s">
        <v>72</v>
      </c>
      <c r="E168" s="21" t="s">
        <v>49</v>
      </c>
      <c r="F168" s="63" t="s">
        <v>298</v>
      </c>
      <c r="G168" s="35">
        <v>5.61</v>
      </c>
    </row>
    <row r="169" ht="15.75" customHeight="1">
      <c r="A169" s="52">
        <v>46217.0</v>
      </c>
      <c r="B169" s="21" t="s">
        <v>24</v>
      </c>
      <c r="C169" s="21" t="s">
        <v>33</v>
      </c>
      <c r="D169" s="21" t="s">
        <v>33</v>
      </c>
      <c r="E169" s="21" t="s">
        <v>49</v>
      </c>
      <c r="F169" s="63" t="s">
        <v>299</v>
      </c>
      <c r="G169" s="35">
        <v>218792.54</v>
      </c>
    </row>
    <row r="170" ht="15.75" customHeight="1">
      <c r="A170" s="52">
        <v>46217.0</v>
      </c>
      <c r="B170" s="21" t="s">
        <v>24</v>
      </c>
      <c r="C170" s="21" t="s">
        <v>33</v>
      </c>
      <c r="D170" s="21" t="s">
        <v>33</v>
      </c>
      <c r="E170" s="21" t="s">
        <v>45</v>
      </c>
      <c r="F170" s="63" t="s">
        <v>299</v>
      </c>
      <c r="G170" s="35">
        <v>40000.0</v>
      </c>
    </row>
    <row r="171" ht="15.75" customHeight="1">
      <c r="A171" s="52">
        <v>46218.0</v>
      </c>
      <c r="B171" s="21" t="s">
        <v>30</v>
      </c>
      <c r="C171" s="21" t="s">
        <v>27</v>
      </c>
      <c r="D171" s="21" t="s">
        <v>66</v>
      </c>
      <c r="E171" s="21" t="s">
        <v>25</v>
      </c>
      <c r="F171" s="21" t="s">
        <v>300</v>
      </c>
      <c r="G171" s="35">
        <v>13000.0</v>
      </c>
    </row>
    <row r="172" ht="15.75" customHeight="1">
      <c r="A172" s="52">
        <v>46218.0</v>
      </c>
      <c r="B172" s="21" t="s">
        <v>29</v>
      </c>
      <c r="C172" s="21" t="s">
        <v>27</v>
      </c>
      <c r="D172" s="21" t="s">
        <v>72</v>
      </c>
      <c r="E172" s="21" t="s">
        <v>49</v>
      </c>
      <c r="F172" s="63" t="s">
        <v>301</v>
      </c>
      <c r="G172" s="35">
        <v>5.61</v>
      </c>
    </row>
    <row r="173" ht="15.75" customHeight="1">
      <c r="A173" s="52">
        <v>46218.0</v>
      </c>
      <c r="B173" s="21" t="s">
        <v>29</v>
      </c>
      <c r="C173" s="21" t="s">
        <v>27</v>
      </c>
      <c r="D173" s="21" t="s">
        <v>72</v>
      </c>
      <c r="E173" s="21" t="s">
        <v>49</v>
      </c>
      <c r="F173" s="63" t="s">
        <v>302</v>
      </c>
      <c r="G173" s="35">
        <v>5.61</v>
      </c>
    </row>
    <row r="174" ht="15.75" customHeight="1">
      <c r="A174" s="52">
        <v>46218.0</v>
      </c>
      <c r="B174" s="21" t="s">
        <v>30</v>
      </c>
      <c r="C174" s="21" t="s">
        <v>27</v>
      </c>
      <c r="D174" s="21" t="s">
        <v>78</v>
      </c>
      <c r="E174" s="21" t="s">
        <v>49</v>
      </c>
      <c r="F174" s="63" t="s">
        <v>303</v>
      </c>
      <c r="G174" s="35">
        <v>13300.0</v>
      </c>
    </row>
    <row r="175" ht="15.75" customHeight="1">
      <c r="A175" s="52">
        <v>46218.0</v>
      </c>
      <c r="B175" s="21" t="s">
        <v>24</v>
      </c>
      <c r="C175" s="21" t="s">
        <v>33</v>
      </c>
      <c r="D175" s="21" t="s">
        <v>33</v>
      </c>
      <c r="E175" s="21" t="s">
        <v>49</v>
      </c>
      <c r="F175" s="63" t="s">
        <v>241</v>
      </c>
      <c r="G175" s="35">
        <v>48009.64</v>
      </c>
    </row>
    <row r="176" ht="15.75" customHeight="1">
      <c r="A176" s="52">
        <v>46219.0</v>
      </c>
      <c r="B176" s="21" t="s">
        <v>29</v>
      </c>
      <c r="C176" s="21" t="s">
        <v>27</v>
      </c>
      <c r="D176" s="21" t="s">
        <v>66</v>
      </c>
      <c r="E176" s="21" t="s">
        <v>45</v>
      </c>
      <c r="F176" s="21" t="s">
        <v>304</v>
      </c>
      <c r="G176" s="35">
        <v>13012.0</v>
      </c>
    </row>
    <row r="177" ht="15.75" customHeight="1">
      <c r="A177" s="52">
        <v>46219.0</v>
      </c>
      <c r="B177" s="21" t="s">
        <v>29</v>
      </c>
      <c r="C177" s="21" t="s">
        <v>27</v>
      </c>
      <c r="D177" s="21" t="s">
        <v>72</v>
      </c>
      <c r="E177" s="21" t="s">
        <v>49</v>
      </c>
      <c r="F177" s="63" t="s">
        <v>305</v>
      </c>
      <c r="G177" s="35">
        <v>5.61</v>
      </c>
    </row>
    <row r="178" ht="15.75" customHeight="1">
      <c r="A178" s="52">
        <v>46220.0</v>
      </c>
      <c r="B178" s="21" t="s">
        <v>24</v>
      </c>
      <c r="C178" s="21" t="s">
        <v>27</v>
      </c>
      <c r="D178" s="21" t="s">
        <v>92</v>
      </c>
      <c r="E178" s="21" t="s">
        <v>45</v>
      </c>
      <c r="F178" s="63" t="s">
        <v>306</v>
      </c>
      <c r="G178" s="35">
        <v>3000.0</v>
      </c>
    </row>
    <row r="179" ht="15.75" customHeight="1">
      <c r="A179" s="52">
        <v>46220.0</v>
      </c>
      <c r="B179" s="21" t="s">
        <v>29</v>
      </c>
      <c r="C179" s="21" t="s">
        <v>27</v>
      </c>
      <c r="D179" s="21" t="s">
        <v>83</v>
      </c>
      <c r="E179" s="21" t="s">
        <v>45</v>
      </c>
      <c r="F179" s="63" t="s">
        <v>307</v>
      </c>
      <c r="G179" s="35">
        <v>16712.0</v>
      </c>
    </row>
    <row r="180" ht="15.75" customHeight="1">
      <c r="A180" s="52">
        <v>46220.0</v>
      </c>
      <c r="B180" s="21" t="s">
        <v>24</v>
      </c>
      <c r="C180" s="21" t="s">
        <v>27</v>
      </c>
      <c r="D180" s="21" t="s">
        <v>83</v>
      </c>
      <c r="E180" s="21" t="s">
        <v>45</v>
      </c>
      <c r="F180" s="63" t="s">
        <v>307</v>
      </c>
      <c r="G180" s="35">
        <v>16712.0</v>
      </c>
    </row>
    <row r="181" ht="15.75" customHeight="1">
      <c r="A181" s="52">
        <v>46220.0</v>
      </c>
      <c r="B181" s="21" t="s">
        <v>30</v>
      </c>
      <c r="C181" s="21" t="s">
        <v>27</v>
      </c>
      <c r="D181" s="21" t="s">
        <v>66</v>
      </c>
      <c r="E181" s="21" t="s">
        <v>45</v>
      </c>
      <c r="F181" s="63" t="s">
        <v>308</v>
      </c>
      <c r="G181" s="35">
        <v>15000.0</v>
      </c>
    </row>
    <row r="182" ht="15.75" customHeight="1">
      <c r="A182" s="52">
        <v>46221.0</v>
      </c>
      <c r="B182" s="21" t="s">
        <v>24</v>
      </c>
      <c r="C182" s="21" t="s">
        <v>27</v>
      </c>
      <c r="D182" s="21" t="s">
        <v>79</v>
      </c>
      <c r="E182" s="21" t="s">
        <v>45</v>
      </c>
      <c r="F182" s="63" t="s">
        <v>309</v>
      </c>
      <c r="G182" s="35">
        <v>10461.0</v>
      </c>
    </row>
    <row r="183" ht="15.75" customHeight="1">
      <c r="A183" s="52">
        <v>46221.0</v>
      </c>
      <c r="B183" s="21" t="s">
        <v>29</v>
      </c>
      <c r="C183" s="21" t="s">
        <v>27</v>
      </c>
      <c r="D183" s="21" t="s">
        <v>79</v>
      </c>
      <c r="E183" s="21" t="s">
        <v>45</v>
      </c>
      <c r="F183" s="63" t="s">
        <v>310</v>
      </c>
      <c r="G183" s="35">
        <v>7445.0</v>
      </c>
    </row>
    <row r="184" ht="15.75" customHeight="1">
      <c r="A184" s="52">
        <v>46221.0</v>
      </c>
      <c r="B184" s="21" t="s">
        <v>30</v>
      </c>
      <c r="C184" s="21" t="s">
        <v>27</v>
      </c>
      <c r="D184" s="21" t="s">
        <v>79</v>
      </c>
      <c r="E184" s="21" t="s">
        <v>45</v>
      </c>
      <c r="F184" s="63" t="s">
        <v>311</v>
      </c>
      <c r="G184" s="35">
        <v>3135.0</v>
      </c>
    </row>
    <row r="185" ht="15.75" customHeight="1">
      <c r="A185" s="52">
        <v>46222.0</v>
      </c>
      <c r="B185" s="21" t="s">
        <v>24</v>
      </c>
      <c r="C185" s="21" t="s">
        <v>27</v>
      </c>
      <c r="D185" s="21" t="s">
        <v>94</v>
      </c>
      <c r="E185" s="21" t="s">
        <v>25</v>
      </c>
      <c r="F185" s="63" t="s">
        <v>95</v>
      </c>
      <c r="G185" s="35">
        <v>3200.0</v>
      </c>
    </row>
    <row r="186" ht="15.75" customHeight="1">
      <c r="A186" s="52">
        <v>46222.0</v>
      </c>
      <c r="B186" s="21" t="s">
        <v>24</v>
      </c>
      <c r="C186" s="21" t="s">
        <v>27</v>
      </c>
      <c r="D186" s="21" t="s">
        <v>88</v>
      </c>
      <c r="E186" s="21" t="s">
        <v>25</v>
      </c>
      <c r="F186" s="63" t="s">
        <v>312</v>
      </c>
      <c r="G186" s="35">
        <v>4880.0</v>
      </c>
    </row>
    <row r="187" ht="15.75" customHeight="1">
      <c r="A187" s="52">
        <v>46222.0</v>
      </c>
      <c r="B187" s="21" t="s">
        <v>30</v>
      </c>
      <c r="C187" s="21" t="s">
        <v>27</v>
      </c>
      <c r="D187" s="21" t="s">
        <v>78</v>
      </c>
      <c r="E187" s="21" t="s">
        <v>49</v>
      </c>
      <c r="F187" s="63" t="s">
        <v>313</v>
      </c>
      <c r="G187" s="35">
        <v>51550.0</v>
      </c>
    </row>
    <row r="188" ht="15.75" customHeight="1">
      <c r="A188" s="52">
        <v>46222.0</v>
      </c>
      <c r="B188" s="21" t="s">
        <v>24</v>
      </c>
      <c r="C188" s="21" t="s">
        <v>27</v>
      </c>
      <c r="D188" s="21" t="s">
        <v>78</v>
      </c>
      <c r="E188" s="21" t="s">
        <v>49</v>
      </c>
      <c r="F188" s="63" t="s">
        <v>314</v>
      </c>
      <c r="G188" s="35">
        <v>18450.0</v>
      </c>
    </row>
    <row r="189" ht="15.75" customHeight="1">
      <c r="A189" s="52">
        <v>46223.0</v>
      </c>
      <c r="B189" s="21" t="s">
        <v>29</v>
      </c>
      <c r="C189" s="21" t="s">
        <v>27</v>
      </c>
      <c r="D189" s="21" t="s">
        <v>66</v>
      </c>
      <c r="E189" s="21" t="s">
        <v>45</v>
      </c>
      <c r="F189" s="63" t="s">
        <v>316</v>
      </c>
      <c r="G189" s="35">
        <v>1416.0</v>
      </c>
    </row>
    <row r="190" ht="15.75" customHeight="1">
      <c r="A190" s="52">
        <v>46223.0</v>
      </c>
      <c r="B190" s="21" t="s">
        <v>24</v>
      </c>
      <c r="C190" s="21" t="s">
        <v>27</v>
      </c>
      <c r="D190" s="21" t="s">
        <v>92</v>
      </c>
      <c r="E190" s="21" t="s">
        <v>25</v>
      </c>
      <c r="F190" s="63" t="s">
        <v>317</v>
      </c>
      <c r="G190" s="35">
        <v>2000.0</v>
      </c>
    </row>
    <row r="191" ht="15.75" customHeight="1">
      <c r="A191" s="52">
        <v>46223.0</v>
      </c>
      <c r="B191" s="21" t="s">
        <v>29</v>
      </c>
      <c r="C191" s="21" t="s">
        <v>27</v>
      </c>
      <c r="D191" s="21" t="s">
        <v>72</v>
      </c>
      <c r="E191" s="21" t="s">
        <v>49</v>
      </c>
      <c r="F191" s="63" t="s">
        <v>320</v>
      </c>
      <c r="G191" s="35">
        <v>5.61</v>
      </c>
    </row>
    <row r="192" ht="15.75" customHeight="1">
      <c r="A192" s="52">
        <v>46223.0</v>
      </c>
      <c r="B192" s="21" t="s">
        <v>29</v>
      </c>
      <c r="C192" s="21" t="s">
        <v>27</v>
      </c>
      <c r="D192" s="21" t="s">
        <v>72</v>
      </c>
      <c r="E192" s="21" t="s">
        <v>49</v>
      </c>
      <c r="F192" s="63" t="s">
        <v>322</v>
      </c>
      <c r="G192" s="35">
        <v>5.61</v>
      </c>
    </row>
    <row r="193" ht="15.75" customHeight="1">
      <c r="A193" s="52">
        <v>46223.0</v>
      </c>
      <c r="B193" s="21" t="s">
        <v>30</v>
      </c>
      <c r="C193" s="21" t="s">
        <v>27</v>
      </c>
      <c r="D193" s="21" t="s">
        <v>78</v>
      </c>
      <c r="E193" s="21" t="s">
        <v>49</v>
      </c>
      <c r="F193" s="63" t="s">
        <v>323</v>
      </c>
      <c r="G193" s="35">
        <v>33500.2</v>
      </c>
    </row>
    <row r="194" ht="15.75" customHeight="1">
      <c r="A194" s="52">
        <v>46223.0</v>
      </c>
      <c r="B194" s="21" t="s">
        <v>29</v>
      </c>
      <c r="C194" s="21" t="s">
        <v>27</v>
      </c>
      <c r="D194" s="21" t="s">
        <v>72</v>
      </c>
      <c r="E194" s="21" t="s">
        <v>49</v>
      </c>
      <c r="F194" s="63" t="s">
        <v>324</v>
      </c>
      <c r="G194" s="35">
        <v>389.4</v>
      </c>
    </row>
    <row r="195" ht="15.75" customHeight="1">
      <c r="A195" s="52">
        <v>46223.0</v>
      </c>
      <c r="B195" s="21" t="s">
        <v>29</v>
      </c>
      <c r="C195" s="21" t="s">
        <v>27</v>
      </c>
      <c r="D195" s="21" t="s">
        <v>81</v>
      </c>
      <c r="E195" s="21" t="s">
        <v>49</v>
      </c>
      <c r="F195" s="63" t="s">
        <v>325</v>
      </c>
      <c r="G195" s="35">
        <v>56753.0</v>
      </c>
    </row>
    <row r="196" ht="15.75" customHeight="1">
      <c r="A196" s="52">
        <v>46224.0</v>
      </c>
      <c r="B196" s="21" t="s">
        <v>24</v>
      </c>
      <c r="C196" s="21" t="s">
        <v>27</v>
      </c>
      <c r="D196" s="21" t="s">
        <v>88</v>
      </c>
      <c r="E196" s="21" t="s">
        <v>25</v>
      </c>
      <c r="F196" s="63" t="s">
        <v>326</v>
      </c>
      <c r="G196" s="35">
        <v>500.0</v>
      </c>
    </row>
    <row r="197" ht="15.75" customHeight="1">
      <c r="A197" s="52">
        <v>46225.0</v>
      </c>
      <c r="B197" s="21" t="s">
        <v>30</v>
      </c>
      <c r="C197" s="21" t="s">
        <v>27</v>
      </c>
      <c r="D197" s="21" t="s">
        <v>94</v>
      </c>
      <c r="E197" s="21" t="s">
        <v>49</v>
      </c>
      <c r="F197" s="63" t="s">
        <v>327</v>
      </c>
      <c r="G197" s="35">
        <v>35000.0</v>
      </c>
    </row>
    <row r="198" ht="15.75" customHeight="1">
      <c r="A198" s="52">
        <v>46226.0</v>
      </c>
      <c r="B198" s="21" t="s">
        <v>29</v>
      </c>
      <c r="C198" s="21" t="s">
        <v>27</v>
      </c>
      <c r="D198" s="21" t="s">
        <v>72</v>
      </c>
      <c r="E198" s="21" t="s">
        <v>49</v>
      </c>
      <c r="F198" s="63" t="s">
        <v>320</v>
      </c>
      <c r="G198" s="35">
        <v>5.61</v>
      </c>
    </row>
    <row r="199" ht="15.75" customHeight="1">
      <c r="A199" s="52">
        <v>46226.0</v>
      </c>
      <c r="B199" s="21" t="s">
        <v>29</v>
      </c>
      <c r="C199" s="21" t="s">
        <v>27</v>
      </c>
      <c r="D199" s="21" t="s">
        <v>72</v>
      </c>
      <c r="E199" s="21" t="s">
        <v>49</v>
      </c>
      <c r="F199" s="63" t="s">
        <v>320</v>
      </c>
      <c r="G199" s="35">
        <v>5.61</v>
      </c>
    </row>
    <row r="200" ht="15.75" customHeight="1">
      <c r="A200" s="52">
        <v>46226.0</v>
      </c>
      <c r="B200" s="21" t="s">
        <v>24</v>
      </c>
      <c r="C200" s="21" t="s">
        <v>33</v>
      </c>
      <c r="D200" s="21" t="s">
        <v>33</v>
      </c>
      <c r="E200" s="21" t="s">
        <v>49</v>
      </c>
      <c r="F200" s="63" t="s">
        <v>116</v>
      </c>
      <c r="G200" s="35">
        <v>62540.0</v>
      </c>
    </row>
    <row r="201" ht="15.75" customHeight="1">
      <c r="A201" s="52">
        <v>46226.0</v>
      </c>
      <c r="B201" s="21" t="s">
        <v>24</v>
      </c>
      <c r="C201" s="21" t="s">
        <v>33</v>
      </c>
      <c r="D201" s="21" t="s">
        <v>33</v>
      </c>
      <c r="E201" s="21" t="s">
        <v>49</v>
      </c>
      <c r="F201" s="63" t="s">
        <v>241</v>
      </c>
      <c r="G201" s="35">
        <v>48096.3</v>
      </c>
    </row>
    <row r="202" ht="15.75" customHeight="1">
      <c r="A202" s="52">
        <v>46226.0</v>
      </c>
      <c r="B202" s="21" t="s">
        <v>29</v>
      </c>
      <c r="C202" s="21" t="s">
        <v>36</v>
      </c>
      <c r="D202" s="21" t="s">
        <v>36</v>
      </c>
      <c r="E202" s="21" t="s">
        <v>49</v>
      </c>
      <c r="F202" s="63" t="s">
        <v>69</v>
      </c>
      <c r="G202" s="35">
        <v>200000.0</v>
      </c>
    </row>
    <row r="203" ht="15.75" customHeight="1">
      <c r="A203" s="52">
        <v>46228.0</v>
      </c>
      <c r="B203" s="21" t="s">
        <v>24</v>
      </c>
      <c r="C203" s="21" t="s">
        <v>27</v>
      </c>
      <c r="D203" s="21" t="s">
        <v>79</v>
      </c>
      <c r="E203" s="21" t="s">
        <v>25</v>
      </c>
      <c r="F203" s="63" t="s">
        <v>328</v>
      </c>
      <c r="G203" s="35">
        <v>9120.0</v>
      </c>
    </row>
    <row r="204" ht="15.75" customHeight="1">
      <c r="A204" s="52">
        <v>46230.0</v>
      </c>
      <c r="B204" s="21" t="s">
        <v>24</v>
      </c>
      <c r="C204" s="21" t="s">
        <v>27</v>
      </c>
      <c r="D204" s="21" t="s">
        <v>86</v>
      </c>
      <c r="E204" s="21" t="s">
        <v>51</v>
      </c>
      <c r="F204" s="63" t="s">
        <v>329</v>
      </c>
      <c r="G204" s="35">
        <v>6421.0</v>
      </c>
    </row>
    <row r="205" ht="15.75" customHeight="1">
      <c r="A205" s="52">
        <v>46230.0</v>
      </c>
      <c r="B205" s="21" t="s">
        <v>24</v>
      </c>
      <c r="C205" s="21" t="s">
        <v>27</v>
      </c>
      <c r="D205" s="21" t="s">
        <v>79</v>
      </c>
      <c r="E205" s="21" t="s">
        <v>45</v>
      </c>
      <c r="F205" s="63" t="s">
        <v>330</v>
      </c>
      <c r="G205" s="35">
        <v>11584.0</v>
      </c>
    </row>
    <row r="206" ht="15.75" customHeight="1">
      <c r="A206" s="52">
        <v>46230.0</v>
      </c>
      <c r="B206" s="21" t="s">
        <v>29</v>
      </c>
      <c r="C206" s="21" t="s">
        <v>27</v>
      </c>
      <c r="D206" s="21" t="s">
        <v>79</v>
      </c>
      <c r="E206" s="21" t="s">
        <v>45</v>
      </c>
      <c r="F206" s="63" t="s">
        <v>311</v>
      </c>
      <c r="G206" s="35">
        <v>8488.0</v>
      </c>
    </row>
    <row r="207" ht="15.75" customHeight="1">
      <c r="A207" s="52">
        <v>46230.0</v>
      </c>
      <c r="B207" s="21" t="s">
        <v>24</v>
      </c>
      <c r="C207" s="21" t="s">
        <v>27</v>
      </c>
      <c r="D207" s="21" t="s">
        <v>92</v>
      </c>
      <c r="E207" s="21" t="s">
        <v>25</v>
      </c>
      <c r="F207" s="63" t="s">
        <v>331</v>
      </c>
      <c r="G207" s="35">
        <v>18600.0</v>
      </c>
    </row>
    <row r="208" ht="15.75" customHeight="1">
      <c r="A208" s="52">
        <v>46230.0</v>
      </c>
      <c r="B208" s="21" t="s">
        <v>29</v>
      </c>
      <c r="C208" s="21" t="s">
        <v>27</v>
      </c>
      <c r="D208" s="21" t="s">
        <v>94</v>
      </c>
      <c r="E208" s="21" t="s">
        <v>25</v>
      </c>
      <c r="F208" s="63" t="s">
        <v>332</v>
      </c>
      <c r="G208" s="35">
        <v>1420.0</v>
      </c>
    </row>
    <row r="209" ht="15.75" customHeight="1">
      <c r="A209" s="52">
        <v>46230.0</v>
      </c>
      <c r="B209" s="21" t="s">
        <v>24</v>
      </c>
      <c r="C209" s="21" t="s">
        <v>27</v>
      </c>
      <c r="D209" s="21" t="s">
        <v>94</v>
      </c>
      <c r="E209" s="21" t="s">
        <v>25</v>
      </c>
      <c r="F209" s="63" t="s">
        <v>333</v>
      </c>
      <c r="G209" s="35">
        <v>930.0</v>
      </c>
    </row>
    <row r="210" ht="15.75" customHeight="1">
      <c r="A210" s="52">
        <v>46230.0</v>
      </c>
      <c r="B210" s="21" t="s">
        <v>24</v>
      </c>
      <c r="C210" s="21" t="s">
        <v>27</v>
      </c>
      <c r="D210" s="21" t="s">
        <v>94</v>
      </c>
      <c r="E210" s="21" t="s">
        <v>45</v>
      </c>
      <c r="F210" s="63" t="s">
        <v>334</v>
      </c>
      <c r="G210" s="35">
        <v>170.0</v>
      </c>
    </row>
    <row r="211" ht="15.75" customHeight="1">
      <c r="A211" s="52">
        <v>46230.0</v>
      </c>
      <c r="B211" s="21" t="s">
        <v>24</v>
      </c>
      <c r="C211" s="21" t="s">
        <v>27</v>
      </c>
      <c r="D211" s="21" t="s">
        <v>86</v>
      </c>
      <c r="E211" s="21" t="s">
        <v>45</v>
      </c>
      <c r="F211" s="63" t="s">
        <v>335</v>
      </c>
      <c r="G211" s="35">
        <v>4950.0</v>
      </c>
    </row>
    <row r="212" ht="15.75" customHeight="1">
      <c r="A212" s="52">
        <v>46230.0</v>
      </c>
      <c r="B212" s="21" t="s">
        <v>24</v>
      </c>
      <c r="C212" s="21" t="s">
        <v>27</v>
      </c>
      <c r="D212" s="21" t="s">
        <v>88</v>
      </c>
      <c r="E212" s="21" t="s">
        <v>45</v>
      </c>
      <c r="F212" s="63" t="s">
        <v>336</v>
      </c>
      <c r="G212" s="35">
        <v>1000.0</v>
      </c>
    </row>
    <row r="213" ht="15.75" customHeight="1">
      <c r="A213" s="52">
        <v>46230.0</v>
      </c>
      <c r="B213" s="21" t="s">
        <v>24</v>
      </c>
      <c r="C213" s="21" t="s">
        <v>27</v>
      </c>
      <c r="D213" s="21" t="s">
        <v>92</v>
      </c>
      <c r="E213" s="21" t="s">
        <v>45</v>
      </c>
      <c r="F213" s="63" t="s">
        <v>337</v>
      </c>
      <c r="G213" s="35">
        <v>800.0</v>
      </c>
    </row>
    <row r="214" ht="15.75" customHeight="1">
      <c r="A214" s="52">
        <v>46230.0</v>
      </c>
      <c r="B214" s="21" t="s">
        <v>24</v>
      </c>
      <c r="C214" s="21" t="s">
        <v>27</v>
      </c>
      <c r="D214" s="21" t="s">
        <v>66</v>
      </c>
      <c r="E214" s="21" t="s">
        <v>45</v>
      </c>
      <c r="F214" s="63" t="s">
        <v>338</v>
      </c>
      <c r="G214" s="35">
        <v>1020.0</v>
      </c>
    </row>
    <row r="215" ht="15.75" customHeight="1">
      <c r="A215" s="52">
        <v>46232.0</v>
      </c>
      <c r="B215" s="21" t="s">
        <v>29</v>
      </c>
      <c r="C215" s="21" t="s">
        <v>27</v>
      </c>
      <c r="D215" s="21" t="s">
        <v>98</v>
      </c>
      <c r="E215" s="21" t="s">
        <v>25</v>
      </c>
      <c r="F215" s="63" t="s">
        <v>339</v>
      </c>
      <c r="G215" s="35">
        <v>1895.3</v>
      </c>
    </row>
    <row r="216" ht="15.75" customHeight="1">
      <c r="A216" s="52">
        <v>46232.0</v>
      </c>
      <c r="B216" s="21" t="s">
        <v>24</v>
      </c>
      <c r="C216" s="21" t="s">
        <v>27</v>
      </c>
      <c r="D216" s="21" t="s">
        <v>86</v>
      </c>
      <c r="E216" s="21" t="s">
        <v>25</v>
      </c>
      <c r="F216" s="63" t="s">
        <v>340</v>
      </c>
      <c r="G216" s="35">
        <v>150.0</v>
      </c>
    </row>
    <row r="217" ht="15.75" customHeight="1">
      <c r="A217" s="52">
        <v>46232.0</v>
      </c>
      <c r="B217" s="21" t="s">
        <v>30</v>
      </c>
      <c r="C217" s="21" t="s">
        <v>27</v>
      </c>
      <c r="D217" s="21" t="s">
        <v>66</v>
      </c>
      <c r="E217" s="21" t="s">
        <v>25</v>
      </c>
      <c r="F217" s="63" t="s">
        <v>341</v>
      </c>
      <c r="G217" s="35">
        <v>12000.0</v>
      </c>
    </row>
    <row r="218" ht="15.75" customHeight="1">
      <c r="A218" s="52">
        <v>46232.0</v>
      </c>
      <c r="B218" s="21" t="s">
        <v>29</v>
      </c>
      <c r="C218" s="21" t="s">
        <v>33</v>
      </c>
      <c r="D218" s="21" t="s">
        <v>33</v>
      </c>
      <c r="E218" s="21" t="s">
        <v>51</v>
      </c>
      <c r="F218" s="63" t="s">
        <v>342</v>
      </c>
      <c r="G218" s="35">
        <v>40950.0</v>
      </c>
    </row>
    <row r="219" ht="15.75" customHeight="1">
      <c r="A219" s="52">
        <v>46232.0</v>
      </c>
      <c r="B219" s="21" t="s">
        <v>29</v>
      </c>
      <c r="C219" s="21" t="s">
        <v>36</v>
      </c>
      <c r="D219" s="21" t="s">
        <v>36</v>
      </c>
      <c r="E219" s="21" t="s">
        <v>51</v>
      </c>
      <c r="F219" s="63" t="s">
        <v>73</v>
      </c>
      <c r="G219" s="35">
        <v>174000.0</v>
      </c>
    </row>
    <row r="220" ht="15.75" customHeight="1">
      <c r="A220" s="52">
        <v>46233.0</v>
      </c>
      <c r="B220" s="21" t="s">
        <v>29</v>
      </c>
      <c r="C220" s="21" t="s">
        <v>27</v>
      </c>
      <c r="D220" s="21" t="s">
        <v>98</v>
      </c>
      <c r="E220" s="21" t="s">
        <v>25</v>
      </c>
      <c r="F220" s="93" t="s">
        <v>343</v>
      </c>
      <c r="G220" s="35">
        <v>1000.0</v>
      </c>
    </row>
    <row r="221" ht="15.75" customHeight="1">
      <c r="A221" s="52">
        <v>46234.0</v>
      </c>
      <c r="B221" s="21" t="s">
        <v>29</v>
      </c>
      <c r="C221" s="21" t="s">
        <v>27</v>
      </c>
      <c r="D221" s="21" t="s">
        <v>72</v>
      </c>
      <c r="E221" s="21" t="s">
        <v>49</v>
      </c>
      <c r="F221" s="63" t="s">
        <v>344</v>
      </c>
      <c r="G221" s="35">
        <v>5.61</v>
      </c>
    </row>
    <row r="222" ht="15.75" customHeight="1">
      <c r="A222" s="52">
        <v>46234.0</v>
      </c>
      <c r="B222" s="21" t="s">
        <v>29</v>
      </c>
      <c r="C222" s="21" t="s">
        <v>27</v>
      </c>
      <c r="D222" s="21" t="s">
        <v>65</v>
      </c>
      <c r="E222" s="21" t="s">
        <v>49</v>
      </c>
      <c r="F222" s="63" t="s">
        <v>345</v>
      </c>
      <c r="G222" s="35">
        <v>10614.0</v>
      </c>
    </row>
    <row r="223" ht="15.75" customHeight="1">
      <c r="A223" s="52">
        <v>46234.0</v>
      </c>
      <c r="B223" s="21" t="s">
        <v>29</v>
      </c>
      <c r="C223" s="21" t="s">
        <v>27</v>
      </c>
      <c r="D223" s="21" t="s">
        <v>65</v>
      </c>
      <c r="E223" s="21" t="s">
        <v>54</v>
      </c>
      <c r="F223" s="63" t="s">
        <v>346</v>
      </c>
      <c r="G223" s="35">
        <v>90632.0</v>
      </c>
    </row>
    <row r="224" ht="15.75" customHeight="1">
      <c r="A224" s="52">
        <v>46234.0</v>
      </c>
      <c r="B224" s="21" t="s">
        <v>24</v>
      </c>
      <c r="C224" s="21" t="s">
        <v>33</v>
      </c>
      <c r="D224" s="21" t="s">
        <v>33</v>
      </c>
      <c r="E224" s="21" t="s">
        <v>49</v>
      </c>
      <c r="F224" s="63" t="s">
        <v>241</v>
      </c>
      <c r="G224" s="35">
        <v>39999.7</v>
      </c>
    </row>
    <row r="225" ht="15.75" customHeight="1">
      <c r="A225" s="52">
        <v>46235.0</v>
      </c>
      <c r="B225" s="21" t="s">
        <v>24</v>
      </c>
      <c r="C225" s="21" t="s">
        <v>27</v>
      </c>
      <c r="D225" s="21" t="s">
        <v>88</v>
      </c>
      <c r="E225" s="21" t="s">
        <v>25</v>
      </c>
      <c r="F225" s="63" t="s">
        <v>347</v>
      </c>
      <c r="G225" s="35">
        <v>500.0</v>
      </c>
    </row>
    <row r="226" ht="15.75" customHeight="1">
      <c r="A226" s="52">
        <v>46235.0</v>
      </c>
      <c r="B226" s="21" t="s">
        <v>24</v>
      </c>
      <c r="C226" s="21" t="s">
        <v>27</v>
      </c>
      <c r="D226" s="21" t="s">
        <v>79</v>
      </c>
      <c r="E226" s="21" t="s">
        <v>45</v>
      </c>
      <c r="F226" s="63" t="s">
        <v>311</v>
      </c>
      <c r="G226" s="35">
        <v>14730.0</v>
      </c>
    </row>
    <row r="227" ht="15.75" customHeight="1">
      <c r="A227" s="52">
        <v>46235.0</v>
      </c>
      <c r="B227" s="21" t="s">
        <v>29</v>
      </c>
      <c r="C227" s="21" t="s">
        <v>27</v>
      </c>
      <c r="D227" s="21" t="s">
        <v>79</v>
      </c>
      <c r="E227" s="21" t="s">
        <v>45</v>
      </c>
      <c r="F227" s="63" t="s">
        <v>311</v>
      </c>
      <c r="G227" s="35">
        <v>12349.0</v>
      </c>
    </row>
    <row r="228" ht="15.75" customHeight="1">
      <c r="A228" s="52">
        <v>46235.0</v>
      </c>
      <c r="B228" s="21" t="s">
        <v>30</v>
      </c>
      <c r="C228" s="21" t="s">
        <v>27</v>
      </c>
      <c r="D228" s="21" t="s">
        <v>79</v>
      </c>
      <c r="E228" s="21" t="s">
        <v>45</v>
      </c>
      <c r="F228" s="63" t="s">
        <v>311</v>
      </c>
      <c r="G228" s="35">
        <v>313.0</v>
      </c>
    </row>
    <row r="229" ht="15.75" customHeight="1">
      <c r="A229" s="52">
        <v>46235.0</v>
      </c>
      <c r="B229" s="21" t="s">
        <v>29</v>
      </c>
      <c r="C229" s="21" t="s">
        <v>27</v>
      </c>
      <c r="D229" s="21" t="s">
        <v>72</v>
      </c>
      <c r="E229" s="21" t="s">
        <v>49</v>
      </c>
      <c r="F229" s="63" t="s">
        <v>348</v>
      </c>
      <c r="G229" s="35">
        <v>5.61</v>
      </c>
    </row>
    <row r="230" ht="15.75" customHeight="1">
      <c r="A230" s="52">
        <v>46235.0</v>
      </c>
      <c r="B230" s="21" t="s">
        <v>29</v>
      </c>
      <c r="C230" s="21" t="s">
        <v>27</v>
      </c>
      <c r="D230" s="21" t="s">
        <v>72</v>
      </c>
      <c r="E230" s="21" t="s">
        <v>49</v>
      </c>
      <c r="F230" s="63" t="s">
        <v>349</v>
      </c>
      <c r="G230" s="35">
        <v>28.91</v>
      </c>
    </row>
    <row r="231" ht="15.75" customHeight="1">
      <c r="A231" s="52">
        <v>46235.0</v>
      </c>
      <c r="B231" s="21" t="s">
        <v>30</v>
      </c>
      <c r="C231" s="21" t="s">
        <v>27</v>
      </c>
      <c r="D231" s="21" t="s">
        <v>86</v>
      </c>
      <c r="E231" s="21" t="s">
        <v>49</v>
      </c>
      <c r="F231" s="63" t="s">
        <v>350</v>
      </c>
      <c r="G231" s="35">
        <v>370000.0</v>
      </c>
    </row>
    <row r="232" ht="15.75" customHeight="1">
      <c r="A232" s="52">
        <v>46236.0</v>
      </c>
      <c r="B232" s="21" t="s">
        <v>29</v>
      </c>
      <c r="C232" s="21" t="s">
        <v>27</v>
      </c>
      <c r="D232" s="21" t="s">
        <v>98</v>
      </c>
      <c r="E232" s="21" t="s">
        <v>25</v>
      </c>
      <c r="F232" s="63" t="s">
        <v>351</v>
      </c>
      <c r="G232" s="35">
        <v>1909.54</v>
      </c>
    </row>
    <row r="233" ht="15.75" customHeight="1">
      <c r="A233" s="94">
        <v>46239.0</v>
      </c>
      <c r="B233" s="95" t="s">
        <v>29</v>
      </c>
      <c r="C233" s="95" t="s">
        <v>27</v>
      </c>
      <c r="D233" s="95" t="s">
        <v>94</v>
      </c>
      <c r="E233" s="95" t="s">
        <v>31</v>
      </c>
      <c r="F233" s="95" t="s">
        <v>352</v>
      </c>
      <c r="G233" s="96">
        <v>15635.0</v>
      </c>
    </row>
    <row r="234" ht="15.75" customHeight="1">
      <c r="A234" s="94">
        <v>46239.0</v>
      </c>
      <c r="B234" s="95" t="s">
        <v>24</v>
      </c>
      <c r="C234" s="95" t="s">
        <v>27</v>
      </c>
      <c r="D234" s="95" t="s">
        <v>92</v>
      </c>
      <c r="E234" s="95" t="s">
        <v>49</v>
      </c>
      <c r="F234" s="95" t="s">
        <v>353</v>
      </c>
      <c r="G234" s="96">
        <v>75199.0</v>
      </c>
    </row>
    <row r="235" ht="15.75" customHeight="1">
      <c r="A235" s="94">
        <v>46239.0</v>
      </c>
      <c r="B235" s="95" t="s">
        <v>24</v>
      </c>
      <c r="C235" s="95" t="s">
        <v>27</v>
      </c>
      <c r="D235" s="95" t="s">
        <v>88</v>
      </c>
      <c r="E235" s="95" t="s">
        <v>25</v>
      </c>
      <c r="F235" s="95" t="s">
        <v>354</v>
      </c>
      <c r="G235" s="96">
        <v>380.0</v>
      </c>
    </row>
    <row r="236" ht="15.75" customHeight="1">
      <c r="A236" s="94">
        <v>46237.0</v>
      </c>
      <c r="B236" s="95" t="s">
        <v>24</v>
      </c>
      <c r="C236" s="95" t="s">
        <v>27</v>
      </c>
      <c r="D236" s="95" t="s">
        <v>66</v>
      </c>
      <c r="E236" s="95" t="s">
        <v>45</v>
      </c>
      <c r="F236" s="95" t="s">
        <v>355</v>
      </c>
      <c r="G236" s="96">
        <v>4096.0</v>
      </c>
    </row>
    <row r="237" ht="15.75" customHeight="1">
      <c r="A237" s="94">
        <v>46237.0</v>
      </c>
      <c r="B237" s="95" t="s">
        <v>24</v>
      </c>
      <c r="C237" s="95" t="s">
        <v>27</v>
      </c>
      <c r="D237" s="95" t="s">
        <v>66</v>
      </c>
      <c r="E237" s="95" t="s">
        <v>45</v>
      </c>
      <c r="F237" s="95" t="s">
        <v>356</v>
      </c>
      <c r="G237" s="96">
        <v>7900.0</v>
      </c>
    </row>
    <row r="238" ht="15.75" customHeight="1">
      <c r="A238" s="94">
        <v>46237.0</v>
      </c>
      <c r="B238" s="95" t="s">
        <v>24</v>
      </c>
      <c r="C238" s="95" t="s">
        <v>27</v>
      </c>
      <c r="D238" s="95" t="s">
        <v>66</v>
      </c>
      <c r="E238" s="95" t="s">
        <v>45</v>
      </c>
      <c r="F238" s="95" t="s">
        <v>357</v>
      </c>
      <c r="G238" s="96">
        <v>3000.0</v>
      </c>
    </row>
    <row r="239" ht="15.75" customHeight="1">
      <c r="A239" s="94">
        <v>46237.0</v>
      </c>
      <c r="B239" s="95" t="s">
        <v>29</v>
      </c>
      <c r="C239" s="95" t="s">
        <v>27</v>
      </c>
      <c r="D239" s="95" t="s">
        <v>94</v>
      </c>
      <c r="E239" s="95" t="s">
        <v>45</v>
      </c>
      <c r="F239" s="95" t="s">
        <v>358</v>
      </c>
      <c r="G239" s="96">
        <v>1300.0</v>
      </c>
    </row>
    <row r="240" ht="15.75" customHeight="1">
      <c r="A240" s="94">
        <v>46242.0</v>
      </c>
      <c r="B240" s="95" t="s">
        <v>24</v>
      </c>
      <c r="C240" s="95" t="s">
        <v>27</v>
      </c>
      <c r="D240" s="95" t="s">
        <v>79</v>
      </c>
      <c r="E240" s="95" t="s">
        <v>45</v>
      </c>
      <c r="F240" s="95" t="s">
        <v>311</v>
      </c>
      <c r="G240" s="96">
        <v>16476.0</v>
      </c>
    </row>
    <row r="241" ht="15.75" customHeight="1">
      <c r="A241" s="94">
        <v>46242.0</v>
      </c>
      <c r="B241" s="95" t="s">
        <v>29</v>
      </c>
      <c r="C241" s="95" t="s">
        <v>27</v>
      </c>
      <c r="D241" s="95" t="s">
        <v>79</v>
      </c>
      <c r="E241" s="95" t="s">
        <v>45</v>
      </c>
      <c r="F241" s="95" t="s">
        <v>311</v>
      </c>
      <c r="G241" s="96">
        <v>8000.0</v>
      </c>
    </row>
    <row r="242" ht="15.75" customHeight="1">
      <c r="A242" s="94">
        <v>46242.0</v>
      </c>
      <c r="B242" s="95" t="s">
        <v>30</v>
      </c>
      <c r="C242" s="95" t="s">
        <v>27</v>
      </c>
      <c r="D242" s="95" t="s">
        <v>79</v>
      </c>
      <c r="E242" s="95" t="s">
        <v>45</v>
      </c>
      <c r="F242" s="95" t="s">
        <v>311</v>
      </c>
      <c r="G242" s="96">
        <v>4220.0</v>
      </c>
    </row>
    <row r="243" ht="15.75" customHeight="1">
      <c r="A243" s="94">
        <v>46240.0</v>
      </c>
      <c r="B243" s="95" t="s">
        <v>29</v>
      </c>
      <c r="C243" s="95" t="s">
        <v>27</v>
      </c>
      <c r="D243" s="95" t="s">
        <v>72</v>
      </c>
      <c r="E243" s="95" t="s">
        <v>49</v>
      </c>
      <c r="F243" s="95" t="s">
        <v>359</v>
      </c>
      <c r="G243" s="96">
        <v>5.61</v>
      </c>
    </row>
    <row r="244" ht="15.75" customHeight="1">
      <c r="A244" s="94">
        <v>46239.0</v>
      </c>
      <c r="B244" s="95" t="s">
        <v>29</v>
      </c>
      <c r="C244" s="95" t="s">
        <v>27</v>
      </c>
      <c r="D244" s="95" t="s">
        <v>72</v>
      </c>
      <c r="E244" s="95" t="s">
        <v>49</v>
      </c>
      <c r="F244" s="95" t="s">
        <v>360</v>
      </c>
      <c r="G244" s="96">
        <v>5.61</v>
      </c>
    </row>
    <row r="245" ht="15.75" customHeight="1">
      <c r="A245" s="94">
        <v>46240.0</v>
      </c>
      <c r="B245" s="95" t="s">
        <v>29</v>
      </c>
      <c r="C245" s="95" t="s">
        <v>27</v>
      </c>
      <c r="D245" s="95" t="s">
        <v>72</v>
      </c>
      <c r="E245" s="95" t="s">
        <v>49</v>
      </c>
      <c r="F245" s="95" t="s">
        <v>361</v>
      </c>
      <c r="G245" s="96">
        <v>28.91</v>
      </c>
    </row>
    <row r="246" ht="15.75" customHeight="1">
      <c r="A246" s="94">
        <v>46240.0</v>
      </c>
      <c r="B246" s="95" t="s">
        <v>29</v>
      </c>
      <c r="C246" s="95" t="s">
        <v>27</v>
      </c>
      <c r="D246" s="95" t="s">
        <v>72</v>
      </c>
      <c r="E246" s="95" t="s">
        <v>49</v>
      </c>
      <c r="F246" s="95" t="s">
        <v>362</v>
      </c>
      <c r="G246" s="96">
        <v>2.66</v>
      </c>
    </row>
    <row r="247" ht="15.75" customHeight="1">
      <c r="A247" s="94">
        <v>46238.0</v>
      </c>
      <c r="B247" s="95" t="s">
        <v>29</v>
      </c>
      <c r="C247" s="95" t="s">
        <v>363</v>
      </c>
      <c r="D247" s="95" t="s">
        <v>363</v>
      </c>
      <c r="E247" s="95" t="s">
        <v>51</v>
      </c>
      <c r="F247" s="95" t="s">
        <v>342</v>
      </c>
      <c r="G247" s="96">
        <v>28800.02</v>
      </c>
    </row>
    <row r="248" ht="15.75" customHeight="1">
      <c r="A248" s="94">
        <v>46240.0</v>
      </c>
      <c r="B248" s="95" t="s">
        <v>29</v>
      </c>
      <c r="C248" s="95" t="s">
        <v>363</v>
      </c>
      <c r="D248" s="95" t="s">
        <v>363</v>
      </c>
      <c r="E248" s="95" t="s">
        <v>49</v>
      </c>
      <c r="F248" s="95" t="s">
        <v>364</v>
      </c>
      <c r="G248" s="96">
        <v>356289.0</v>
      </c>
    </row>
    <row r="249" ht="15.75" customHeight="1">
      <c r="A249" s="94">
        <v>46240.0</v>
      </c>
      <c r="B249" s="95" t="s">
        <v>29</v>
      </c>
      <c r="C249" s="95" t="s">
        <v>363</v>
      </c>
      <c r="D249" s="95" t="s">
        <v>363</v>
      </c>
      <c r="E249" s="95" t="s">
        <v>49</v>
      </c>
      <c r="F249" s="95" t="s">
        <v>342</v>
      </c>
      <c r="G249" s="96">
        <v>39474.99</v>
      </c>
    </row>
    <row r="250" ht="15.75" customHeight="1">
      <c r="A250" s="94">
        <v>46239.0</v>
      </c>
      <c r="B250" s="95" t="s">
        <v>24</v>
      </c>
      <c r="C250" s="95" t="s">
        <v>27</v>
      </c>
      <c r="D250" s="95" t="s">
        <v>86</v>
      </c>
      <c r="E250" s="95" t="s">
        <v>49</v>
      </c>
      <c r="F250" s="95" t="s">
        <v>365</v>
      </c>
      <c r="G250" s="96">
        <v>253100.0</v>
      </c>
    </row>
    <row r="251" ht="15.75" customHeight="1">
      <c r="A251" s="94">
        <v>46239.0</v>
      </c>
      <c r="B251" s="95" t="s">
        <v>24</v>
      </c>
      <c r="C251" s="95" t="s">
        <v>27</v>
      </c>
      <c r="D251" s="95" t="s">
        <v>86</v>
      </c>
      <c r="E251" s="95" t="s">
        <v>54</v>
      </c>
      <c r="F251" s="95" t="s">
        <v>365</v>
      </c>
      <c r="G251" s="96">
        <v>746900.0</v>
      </c>
    </row>
    <row r="252" ht="15.75" customHeight="1">
      <c r="A252" s="94">
        <v>46240.0</v>
      </c>
      <c r="B252" s="95" t="s">
        <v>24</v>
      </c>
      <c r="C252" s="95" t="s">
        <v>363</v>
      </c>
      <c r="D252" s="95" t="s">
        <v>363</v>
      </c>
      <c r="E252" s="95" t="s">
        <v>49</v>
      </c>
      <c r="F252" s="95" t="s">
        <v>241</v>
      </c>
      <c r="G252" s="96">
        <v>11826.06</v>
      </c>
    </row>
    <row r="253" ht="15.75" customHeight="1">
      <c r="A253" s="94">
        <v>46241.0</v>
      </c>
      <c r="B253" s="95" t="s">
        <v>24</v>
      </c>
      <c r="C253" s="95" t="s">
        <v>27</v>
      </c>
      <c r="D253" s="95" t="s">
        <v>86</v>
      </c>
      <c r="E253" s="95" t="s">
        <v>49</v>
      </c>
      <c r="F253" s="95" t="s">
        <v>365</v>
      </c>
      <c r="G253" s="96">
        <v>130466.5</v>
      </c>
    </row>
    <row r="254" ht="15.75" customHeight="1">
      <c r="A254" s="94">
        <v>46241.0</v>
      </c>
      <c r="B254" s="95" t="s">
        <v>24</v>
      </c>
      <c r="C254" s="95" t="s">
        <v>363</v>
      </c>
      <c r="D254" s="95" t="s">
        <v>363</v>
      </c>
      <c r="E254" s="95" t="s">
        <v>49</v>
      </c>
      <c r="F254" s="95" t="s">
        <v>241</v>
      </c>
      <c r="G254" s="96">
        <v>53039.59</v>
      </c>
    </row>
    <row r="255" ht="15.75" customHeight="1">
      <c r="A255" s="94">
        <v>46241.0</v>
      </c>
      <c r="B255" s="95" t="s">
        <v>24</v>
      </c>
      <c r="C255" s="95" t="s">
        <v>27</v>
      </c>
      <c r="D255" s="95" t="s">
        <v>86</v>
      </c>
      <c r="E255" s="95" t="s">
        <v>54</v>
      </c>
      <c r="F255" s="95" t="s">
        <v>365</v>
      </c>
      <c r="G255" s="96">
        <v>280533.5</v>
      </c>
    </row>
    <row r="256" ht="15.75" customHeight="1">
      <c r="A256" s="94">
        <v>46240.0</v>
      </c>
      <c r="B256" s="95" t="s">
        <v>30</v>
      </c>
      <c r="C256" s="95" t="s">
        <v>27</v>
      </c>
      <c r="D256" s="21" t="s">
        <v>78</v>
      </c>
      <c r="E256" s="95" t="s">
        <v>49</v>
      </c>
      <c r="F256" s="95" t="s">
        <v>323</v>
      </c>
      <c r="G256" s="96">
        <v>8382.58</v>
      </c>
    </row>
    <row r="257" ht="15.75" customHeight="1">
      <c r="A257" s="94">
        <v>46239.0</v>
      </c>
      <c r="B257" s="95" t="s">
        <v>29</v>
      </c>
      <c r="C257" s="95" t="s">
        <v>366</v>
      </c>
      <c r="D257" s="95" t="s">
        <v>366</v>
      </c>
      <c r="E257" s="95" t="s">
        <v>49</v>
      </c>
      <c r="F257" s="95" t="s">
        <v>93</v>
      </c>
      <c r="G257" s="96">
        <v>90632.0</v>
      </c>
    </row>
    <row r="258" ht="15.75" customHeight="1">
      <c r="A258" s="94">
        <v>46240.0</v>
      </c>
      <c r="B258" s="95" t="s">
        <v>29</v>
      </c>
      <c r="C258" s="95" t="s">
        <v>366</v>
      </c>
      <c r="D258" s="95" t="s">
        <v>366</v>
      </c>
      <c r="E258" s="95" t="s">
        <v>49</v>
      </c>
      <c r="F258" s="95" t="s">
        <v>102</v>
      </c>
      <c r="G258" s="96">
        <v>300000.0</v>
      </c>
    </row>
    <row r="259" ht="15.75" customHeight="1">
      <c r="A259" s="97">
        <v>46242.0</v>
      </c>
      <c r="B259" s="98" t="s">
        <v>24</v>
      </c>
      <c r="C259" s="98" t="s">
        <v>27</v>
      </c>
      <c r="D259" s="98" t="s">
        <v>86</v>
      </c>
      <c r="E259" s="98" t="s">
        <v>54</v>
      </c>
      <c r="F259" s="95" t="s">
        <v>367</v>
      </c>
      <c r="G259" s="99">
        <v>300000.0</v>
      </c>
    </row>
    <row r="260" ht="15.75" customHeight="1">
      <c r="A260" s="100">
        <v>46244.0</v>
      </c>
      <c r="B260" s="101" t="s">
        <v>24</v>
      </c>
      <c r="C260" s="101" t="s">
        <v>27</v>
      </c>
      <c r="D260" s="101" t="s">
        <v>86</v>
      </c>
      <c r="E260" s="101" t="s">
        <v>41</v>
      </c>
      <c r="F260" s="95" t="s">
        <v>276</v>
      </c>
      <c r="G260" s="102">
        <v>38470.0</v>
      </c>
    </row>
    <row r="261" ht="15.75" customHeight="1">
      <c r="A261" s="100">
        <v>46244.0</v>
      </c>
      <c r="B261" s="101" t="s">
        <v>29</v>
      </c>
      <c r="C261" s="101" t="s">
        <v>27</v>
      </c>
      <c r="D261" s="101" t="s">
        <v>98</v>
      </c>
      <c r="E261" s="101" t="s">
        <v>25</v>
      </c>
      <c r="F261" s="95" t="s">
        <v>368</v>
      </c>
      <c r="G261" s="102">
        <v>666.0</v>
      </c>
    </row>
    <row r="262" ht="15.75" customHeight="1">
      <c r="A262" s="100">
        <v>46244.0</v>
      </c>
      <c r="B262" s="101" t="s">
        <v>24</v>
      </c>
      <c r="C262" s="101" t="s">
        <v>27</v>
      </c>
      <c r="D262" s="101" t="s">
        <v>78</v>
      </c>
      <c r="E262" s="101" t="s">
        <v>25</v>
      </c>
      <c r="F262" s="95" t="s">
        <v>369</v>
      </c>
      <c r="G262" s="102">
        <v>1870.0</v>
      </c>
    </row>
    <row r="263" ht="15.75" customHeight="1">
      <c r="A263" s="100">
        <v>46244.0</v>
      </c>
      <c r="B263" s="101" t="s">
        <v>30</v>
      </c>
      <c r="C263" s="101" t="s">
        <v>27</v>
      </c>
      <c r="D263" s="101" t="s">
        <v>94</v>
      </c>
      <c r="E263" s="101" t="s">
        <v>25</v>
      </c>
      <c r="F263" s="95" t="s">
        <v>370</v>
      </c>
      <c r="G263" s="102">
        <v>150.0</v>
      </c>
    </row>
    <row r="264" ht="15.75" customHeight="1">
      <c r="A264" s="100">
        <v>46244.0</v>
      </c>
      <c r="B264" s="101" t="s">
        <v>24</v>
      </c>
      <c r="C264" s="101" t="s">
        <v>27</v>
      </c>
      <c r="D264" s="101" t="s">
        <v>88</v>
      </c>
      <c r="E264" s="101" t="s">
        <v>25</v>
      </c>
      <c r="F264" s="95" t="s">
        <v>371</v>
      </c>
      <c r="G264" s="102">
        <v>140.0</v>
      </c>
    </row>
    <row r="265" ht="15.75" customHeight="1">
      <c r="A265" s="100">
        <v>46249.0</v>
      </c>
      <c r="B265" s="101" t="s">
        <v>24</v>
      </c>
      <c r="C265" s="101" t="s">
        <v>27</v>
      </c>
      <c r="D265" s="101" t="s">
        <v>88</v>
      </c>
      <c r="E265" s="101" t="s">
        <v>25</v>
      </c>
      <c r="F265" s="95" t="s">
        <v>372</v>
      </c>
      <c r="G265" s="102">
        <v>690.0</v>
      </c>
    </row>
    <row r="266" ht="15.75" customHeight="1">
      <c r="A266" s="100">
        <v>46249.0</v>
      </c>
      <c r="B266" s="101" t="s">
        <v>30</v>
      </c>
      <c r="C266" s="101" t="s">
        <v>27</v>
      </c>
      <c r="D266" s="101" t="s">
        <v>78</v>
      </c>
      <c r="E266" s="101" t="s">
        <v>34</v>
      </c>
      <c r="F266" s="95" t="s">
        <v>373</v>
      </c>
      <c r="G266" s="102">
        <v>826490.0</v>
      </c>
    </row>
    <row r="267" ht="15.75" customHeight="1">
      <c r="A267" s="100">
        <v>46249.0</v>
      </c>
      <c r="B267" s="101" t="s">
        <v>29</v>
      </c>
      <c r="C267" s="101" t="s">
        <v>27</v>
      </c>
      <c r="D267" s="101" t="s">
        <v>78</v>
      </c>
      <c r="E267" s="101" t="s">
        <v>34</v>
      </c>
      <c r="F267" s="95" t="s">
        <v>374</v>
      </c>
      <c r="G267" s="102">
        <v>4186.0</v>
      </c>
    </row>
    <row r="268" ht="15.75" customHeight="1">
      <c r="A268" s="100">
        <v>46249.0</v>
      </c>
      <c r="B268" s="101" t="s">
        <v>29</v>
      </c>
      <c r="C268" s="101" t="s">
        <v>27</v>
      </c>
      <c r="D268" s="101" t="s">
        <v>79</v>
      </c>
      <c r="E268" s="101" t="s">
        <v>45</v>
      </c>
      <c r="F268" s="95" t="s">
        <v>311</v>
      </c>
      <c r="G268" s="102">
        <v>1270.0</v>
      </c>
    </row>
    <row r="269" ht="15.75" customHeight="1">
      <c r="A269" s="100">
        <v>46249.0</v>
      </c>
      <c r="B269" s="101" t="s">
        <v>30</v>
      </c>
      <c r="C269" s="101" t="s">
        <v>27</v>
      </c>
      <c r="D269" s="101" t="s">
        <v>79</v>
      </c>
      <c r="E269" s="101" t="s">
        <v>45</v>
      </c>
      <c r="F269" s="95" t="s">
        <v>311</v>
      </c>
      <c r="G269" s="102">
        <v>6124.0</v>
      </c>
    </row>
    <row r="270" ht="15.75" customHeight="1">
      <c r="A270" s="100">
        <v>46249.0</v>
      </c>
      <c r="B270" s="101" t="s">
        <v>24</v>
      </c>
      <c r="C270" s="101" t="s">
        <v>27</v>
      </c>
      <c r="D270" s="101" t="s">
        <v>79</v>
      </c>
      <c r="E270" s="101" t="s">
        <v>45</v>
      </c>
      <c r="F270" s="95" t="s">
        <v>311</v>
      </c>
      <c r="G270" s="102">
        <v>15297.0</v>
      </c>
    </row>
    <row r="271" ht="15.75" customHeight="1">
      <c r="A271" s="100">
        <v>46246.0</v>
      </c>
      <c r="B271" s="101" t="s">
        <v>24</v>
      </c>
      <c r="C271" s="101" t="s">
        <v>27</v>
      </c>
      <c r="D271" s="101" t="s">
        <v>83</v>
      </c>
      <c r="E271" s="101" t="s">
        <v>51</v>
      </c>
      <c r="F271" s="95" t="s">
        <v>375</v>
      </c>
      <c r="G271" s="102">
        <v>19666.0</v>
      </c>
    </row>
    <row r="272" ht="15.75" customHeight="1">
      <c r="A272" s="100">
        <v>46246.0</v>
      </c>
      <c r="B272" s="101" t="s">
        <v>29</v>
      </c>
      <c r="C272" s="101" t="s">
        <v>27</v>
      </c>
      <c r="D272" s="101" t="s">
        <v>83</v>
      </c>
      <c r="E272" s="101" t="s">
        <v>51</v>
      </c>
      <c r="F272" s="95" t="s">
        <v>375</v>
      </c>
      <c r="G272" s="102">
        <v>8429.0</v>
      </c>
    </row>
    <row r="273" ht="15.75" customHeight="1">
      <c r="A273" s="100">
        <v>46248.0</v>
      </c>
      <c r="B273" s="101" t="s">
        <v>24</v>
      </c>
      <c r="C273" s="101" t="s">
        <v>363</v>
      </c>
      <c r="D273" s="101" t="s">
        <v>363</v>
      </c>
      <c r="E273" s="101" t="s">
        <v>51</v>
      </c>
      <c r="F273" s="95" t="s">
        <v>241</v>
      </c>
      <c r="G273" s="102">
        <v>48446.29</v>
      </c>
    </row>
    <row r="274" ht="15.75" customHeight="1">
      <c r="A274" s="100">
        <v>46249.0</v>
      </c>
      <c r="B274" s="101" t="s">
        <v>29</v>
      </c>
      <c r="C274" s="101" t="s">
        <v>27</v>
      </c>
      <c r="D274" s="101" t="s">
        <v>94</v>
      </c>
      <c r="E274" s="101" t="s">
        <v>45</v>
      </c>
      <c r="F274" s="95" t="s">
        <v>376</v>
      </c>
      <c r="G274" s="102">
        <v>1378.0</v>
      </c>
    </row>
    <row r="275" ht="15.75" customHeight="1">
      <c r="A275" s="100">
        <v>46249.0</v>
      </c>
      <c r="B275" s="101" t="s">
        <v>30</v>
      </c>
      <c r="C275" s="101" t="s">
        <v>27</v>
      </c>
      <c r="D275" s="101" t="s">
        <v>94</v>
      </c>
      <c r="E275" s="101" t="s">
        <v>45</v>
      </c>
      <c r="F275" s="95" t="s">
        <v>377</v>
      </c>
      <c r="G275" s="102">
        <v>1100.0</v>
      </c>
    </row>
    <row r="276" ht="15.75" customHeight="1">
      <c r="A276" s="100">
        <v>46249.0</v>
      </c>
      <c r="B276" s="101" t="s">
        <v>24</v>
      </c>
      <c r="C276" s="101" t="s">
        <v>27</v>
      </c>
      <c r="D276" s="101" t="s">
        <v>94</v>
      </c>
      <c r="E276" s="101" t="s">
        <v>45</v>
      </c>
      <c r="F276" s="95" t="s">
        <v>378</v>
      </c>
      <c r="G276" s="102">
        <v>300.0</v>
      </c>
    </row>
    <row r="277" ht="15.75" customHeight="1">
      <c r="A277" s="103">
        <v>46253.0</v>
      </c>
      <c r="B277" s="105" t="s">
        <v>24</v>
      </c>
      <c r="C277" s="105" t="s">
        <v>27</v>
      </c>
      <c r="D277" s="105" t="s">
        <v>84</v>
      </c>
      <c r="E277" s="105" t="s">
        <v>25</v>
      </c>
      <c r="F277" s="105" t="s">
        <v>380</v>
      </c>
      <c r="G277" s="106">
        <v>3000.0</v>
      </c>
    </row>
    <row r="278" ht="15.75" customHeight="1">
      <c r="A278" s="103">
        <v>46254.0</v>
      </c>
      <c r="B278" s="105" t="s">
        <v>24</v>
      </c>
      <c r="C278" s="105" t="s">
        <v>27</v>
      </c>
      <c r="D278" s="105" t="s">
        <v>86</v>
      </c>
      <c r="E278" s="105" t="s">
        <v>25</v>
      </c>
      <c r="F278" s="105" t="s">
        <v>381</v>
      </c>
      <c r="G278" s="106">
        <v>9900.0</v>
      </c>
    </row>
    <row r="279" ht="15.75" customHeight="1">
      <c r="A279" s="103">
        <v>46255.0</v>
      </c>
      <c r="B279" s="105" t="s">
        <v>30</v>
      </c>
      <c r="C279" s="105" t="s">
        <v>27</v>
      </c>
      <c r="D279" s="105" t="s">
        <v>94</v>
      </c>
      <c r="E279" s="105" t="s">
        <v>49</v>
      </c>
      <c r="F279" s="105" t="s">
        <v>382</v>
      </c>
      <c r="G279" s="106">
        <v>151199.0</v>
      </c>
    </row>
    <row r="280" ht="15.75" customHeight="1">
      <c r="A280" s="103">
        <v>46255.0</v>
      </c>
      <c r="B280" s="105" t="s">
        <v>24</v>
      </c>
      <c r="C280" s="105" t="s">
        <v>27</v>
      </c>
      <c r="D280" s="105" t="s">
        <v>109</v>
      </c>
      <c r="E280" s="105" t="s">
        <v>25</v>
      </c>
      <c r="F280" s="105" t="s">
        <v>383</v>
      </c>
      <c r="G280" s="106">
        <v>5000.0</v>
      </c>
    </row>
    <row r="281" ht="15.75" customHeight="1">
      <c r="A281" s="103">
        <v>46254.0</v>
      </c>
      <c r="B281" s="105" t="s">
        <v>30</v>
      </c>
      <c r="C281" s="105" t="s">
        <v>27</v>
      </c>
      <c r="D281" s="105" t="s">
        <v>66</v>
      </c>
      <c r="E281" s="105" t="s">
        <v>25</v>
      </c>
      <c r="F281" s="105" t="s">
        <v>384</v>
      </c>
      <c r="G281" s="106">
        <v>140.0</v>
      </c>
    </row>
    <row r="282" ht="15.75" customHeight="1">
      <c r="A282" s="103">
        <v>46253.0</v>
      </c>
      <c r="B282" s="105" t="s">
        <v>30</v>
      </c>
      <c r="C282" s="105" t="s">
        <v>27</v>
      </c>
      <c r="D282" s="105" t="s">
        <v>66</v>
      </c>
      <c r="E282" s="105" t="s">
        <v>25</v>
      </c>
      <c r="F282" s="105" t="s">
        <v>385</v>
      </c>
      <c r="G282" s="106">
        <v>6000.0</v>
      </c>
    </row>
    <row r="283" ht="15.75" customHeight="1">
      <c r="A283" s="103">
        <v>46253.0</v>
      </c>
      <c r="B283" s="105" t="s">
        <v>24</v>
      </c>
      <c r="C283" s="105" t="s">
        <v>27</v>
      </c>
      <c r="D283" s="105" t="s">
        <v>94</v>
      </c>
      <c r="E283" s="105" t="s">
        <v>25</v>
      </c>
      <c r="F283" s="105" t="s">
        <v>386</v>
      </c>
      <c r="G283" s="106">
        <v>1000.0</v>
      </c>
    </row>
    <row r="284" ht="15.75" customHeight="1">
      <c r="A284" s="103">
        <v>46256.0</v>
      </c>
      <c r="B284" s="105" t="s">
        <v>24</v>
      </c>
      <c r="C284" s="105" t="s">
        <v>27</v>
      </c>
      <c r="D284" s="105" t="s">
        <v>79</v>
      </c>
      <c r="E284" s="105" t="s">
        <v>45</v>
      </c>
      <c r="F284" s="105" t="s">
        <v>311</v>
      </c>
      <c r="G284" s="106">
        <v>15432.0</v>
      </c>
    </row>
    <row r="285" ht="15.75" customHeight="1">
      <c r="A285" s="103">
        <v>46256.0</v>
      </c>
      <c r="B285" s="105" t="s">
        <v>29</v>
      </c>
      <c r="C285" s="105" t="s">
        <v>27</v>
      </c>
      <c r="D285" s="105" t="s">
        <v>79</v>
      </c>
      <c r="E285" s="105" t="s">
        <v>45</v>
      </c>
      <c r="F285" s="105" t="s">
        <v>311</v>
      </c>
      <c r="G285" s="106">
        <v>3840.0</v>
      </c>
    </row>
    <row r="286" ht="15.75" customHeight="1">
      <c r="A286" s="103">
        <v>46256.0</v>
      </c>
      <c r="B286" s="105" t="s">
        <v>30</v>
      </c>
      <c r="C286" s="105" t="s">
        <v>27</v>
      </c>
      <c r="D286" s="105" t="s">
        <v>79</v>
      </c>
      <c r="E286" s="105" t="s">
        <v>45</v>
      </c>
      <c r="F286" s="105" t="s">
        <v>311</v>
      </c>
      <c r="G286" s="106">
        <v>1170.0</v>
      </c>
    </row>
    <row r="287" ht="15.75" customHeight="1">
      <c r="A287" s="103">
        <v>46255.0</v>
      </c>
      <c r="B287" s="105" t="s">
        <v>29</v>
      </c>
      <c r="C287" s="105" t="s">
        <v>27</v>
      </c>
      <c r="D287" s="105" t="s">
        <v>72</v>
      </c>
      <c r="E287" s="105" t="s">
        <v>51</v>
      </c>
      <c r="F287" s="105" t="s">
        <v>387</v>
      </c>
      <c r="G287" s="106">
        <v>5.61</v>
      </c>
    </row>
    <row r="288" ht="15.75" customHeight="1">
      <c r="A288" s="103">
        <v>46252.0</v>
      </c>
      <c r="B288" s="105" t="s">
        <v>29</v>
      </c>
      <c r="C288" s="105" t="s">
        <v>363</v>
      </c>
      <c r="D288" s="105" t="s">
        <v>363</v>
      </c>
      <c r="E288" s="105" t="s">
        <v>25</v>
      </c>
      <c r="F288" s="105" t="s">
        <v>389</v>
      </c>
      <c r="G288" s="106">
        <v>30015.0</v>
      </c>
    </row>
    <row r="289" ht="15.75" customHeight="1">
      <c r="A289" s="103">
        <v>46255.0</v>
      </c>
      <c r="B289" s="105" t="s">
        <v>24</v>
      </c>
      <c r="C289" s="105" t="s">
        <v>363</v>
      </c>
      <c r="D289" s="105" t="s">
        <v>363</v>
      </c>
      <c r="E289" s="105" t="s">
        <v>51</v>
      </c>
      <c r="F289" s="105" t="s">
        <v>241</v>
      </c>
      <c r="G289" s="106">
        <v>30000.0</v>
      </c>
    </row>
    <row r="290" ht="15.75" customHeight="1">
      <c r="A290" s="103">
        <v>46255.0</v>
      </c>
      <c r="B290" s="105" t="s">
        <v>24</v>
      </c>
      <c r="C290" s="105" t="s">
        <v>363</v>
      </c>
      <c r="D290" s="105" t="s">
        <v>363</v>
      </c>
      <c r="E290" s="105" t="s">
        <v>51</v>
      </c>
      <c r="F290" s="105" t="s">
        <v>241</v>
      </c>
      <c r="G290" s="106">
        <v>15249.82</v>
      </c>
    </row>
    <row r="291" ht="15.75" customHeight="1">
      <c r="A291" s="110"/>
      <c r="B291" s="20"/>
      <c r="C291" s="20"/>
      <c r="D291" s="20"/>
      <c r="E291" s="20"/>
      <c r="F291" s="20"/>
      <c r="G291" s="65"/>
    </row>
    <row r="292" ht="15.75" customHeight="1">
      <c r="A292" s="110"/>
      <c r="B292" s="20"/>
      <c r="C292" s="20"/>
      <c r="D292" s="20"/>
      <c r="E292" s="20"/>
      <c r="F292" s="20"/>
      <c r="G292" s="65"/>
    </row>
    <row r="293" ht="15.75" customHeight="1">
      <c r="A293" s="110"/>
      <c r="B293" s="20"/>
      <c r="C293" s="20"/>
      <c r="D293" s="20"/>
      <c r="E293" s="20"/>
      <c r="F293" s="20"/>
      <c r="G293" s="65"/>
    </row>
    <row r="294" ht="15.75" customHeight="1">
      <c r="A294" s="110"/>
      <c r="B294" s="20"/>
      <c r="C294" s="20"/>
      <c r="D294" s="20"/>
      <c r="E294" s="20"/>
      <c r="F294" s="20"/>
      <c r="G294" s="65"/>
    </row>
    <row r="295" ht="15.75" customHeight="1">
      <c r="A295" s="110"/>
      <c r="B295" s="20"/>
      <c r="C295" s="20"/>
      <c r="D295" s="20"/>
      <c r="E295" s="20"/>
      <c r="F295" s="20"/>
      <c r="G295" s="65"/>
    </row>
    <row r="296" ht="15.75" customHeight="1">
      <c r="A296" s="110"/>
      <c r="B296" s="20"/>
      <c r="C296" s="20"/>
      <c r="D296" s="20"/>
      <c r="E296" s="20"/>
      <c r="F296" s="20"/>
      <c r="G296" s="65"/>
    </row>
    <row r="297" ht="15.75" customHeight="1">
      <c r="A297" s="110"/>
      <c r="B297" s="20"/>
      <c r="C297" s="20"/>
      <c r="D297" s="20"/>
      <c r="E297" s="20"/>
      <c r="F297" s="20"/>
      <c r="G297" s="65"/>
    </row>
    <row r="298" ht="15.75" customHeight="1">
      <c r="A298" s="110"/>
      <c r="B298" s="20"/>
      <c r="C298" s="20"/>
      <c r="D298" s="20"/>
      <c r="E298" s="20"/>
      <c r="F298" s="20"/>
      <c r="G298" s="65"/>
    </row>
    <row r="299" ht="15.75" customHeight="1">
      <c r="A299" s="110"/>
      <c r="B299" s="20"/>
      <c r="C299" s="20"/>
      <c r="D299" s="20"/>
      <c r="E299" s="20"/>
      <c r="F299" s="20"/>
      <c r="G299" s="65"/>
    </row>
    <row r="300" ht="15.75" customHeight="1">
      <c r="A300" s="110"/>
      <c r="B300" s="20"/>
      <c r="C300" s="20"/>
      <c r="D300" s="20"/>
      <c r="E300" s="20"/>
      <c r="F300" s="20"/>
      <c r="G300" s="65"/>
    </row>
    <row r="301" ht="15.75" customHeight="1">
      <c r="A301" s="110"/>
      <c r="B301" s="20"/>
      <c r="C301" s="20"/>
      <c r="D301" s="20"/>
      <c r="E301" s="20"/>
      <c r="F301" s="20"/>
      <c r="G301" s="65"/>
    </row>
    <row r="302" ht="15.75" customHeight="1">
      <c r="A302" s="110"/>
      <c r="B302" s="20"/>
      <c r="C302" s="20"/>
      <c r="D302" s="20"/>
      <c r="E302" s="20"/>
      <c r="F302" s="20"/>
      <c r="G302" s="65"/>
    </row>
    <row r="303" ht="15.75" customHeight="1">
      <c r="A303" s="110"/>
      <c r="B303" s="20"/>
      <c r="C303" s="20"/>
      <c r="D303" s="20"/>
      <c r="E303" s="20"/>
      <c r="F303" s="20"/>
      <c r="G303" s="65"/>
    </row>
    <row r="304" ht="15.75" customHeight="1">
      <c r="A304" s="110"/>
      <c r="B304" s="20"/>
      <c r="C304" s="20"/>
      <c r="D304" s="20"/>
      <c r="E304" s="20"/>
      <c r="F304" s="20"/>
      <c r="G304" s="65"/>
    </row>
    <row r="305" ht="15.75" customHeight="1">
      <c r="A305" s="110"/>
      <c r="B305" s="20"/>
      <c r="C305" s="20"/>
      <c r="D305" s="20"/>
      <c r="E305" s="20"/>
      <c r="F305" s="20"/>
      <c r="G305" s="65"/>
    </row>
    <row r="306" ht="15.75" customHeight="1">
      <c r="A306" s="110"/>
      <c r="B306" s="20"/>
      <c r="C306" s="20"/>
      <c r="D306" s="20"/>
      <c r="E306" s="20"/>
      <c r="F306" s="20"/>
      <c r="G306" s="65"/>
    </row>
    <row r="307" ht="15.75" customHeight="1">
      <c r="A307" s="110"/>
      <c r="B307" s="20"/>
      <c r="C307" s="20"/>
      <c r="D307" s="20"/>
      <c r="E307" s="20"/>
      <c r="F307" s="20"/>
      <c r="G307" s="65"/>
    </row>
    <row r="308" ht="15.75" customHeight="1">
      <c r="A308" s="110"/>
      <c r="B308" s="20"/>
      <c r="C308" s="20"/>
      <c r="D308" s="20"/>
      <c r="E308" s="20"/>
      <c r="F308" s="20"/>
      <c r="G308" s="65"/>
    </row>
    <row r="309" ht="15.75" customHeight="1">
      <c r="A309" s="110"/>
      <c r="B309" s="20"/>
      <c r="C309" s="20"/>
      <c r="D309" s="20"/>
      <c r="E309" s="20"/>
      <c r="F309" s="20"/>
      <c r="G309" s="65"/>
    </row>
    <row r="310" ht="15.75" customHeight="1">
      <c r="A310" s="110"/>
      <c r="B310" s="20"/>
      <c r="C310" s="20"/>
      <c r="D310" s="20"/>
      <c r="E310" s="20"/>
      <c r="F310" s="20"/>
      <c r="G310" s="65"/>
    </row>
    <row r="311" ht="15.75" customHeight="1">
      <c r="A311" s="110"/>
      <c r="B311" s="20"/>
      <c r="C311" s="20"/>
      <c r="D311" s="20"/>
      <c r="E311" s="20"/>
      <c r="F311" s="20"/>
      <c r="G311" s="65"/>
    </row>
    <row r="312" ht="15.75" customHeight="1">
      <c r="A312" s="110"/>
      <c r="B312" s="20"/>
      <c r="C312" s="20"/>
      <c r="D312" s="20"/>
      <c r="E312" s="20"/>
      <c r="F312" s="20"/>
      <c r="G312" s="65"/>
    </row>
    <row r="313" ht="15.75" customHeight="1">
      <c r="A313" s="110"/>
      <c r="B313" s="20"/>
      <c r="C313" s="20"/>
      <c r="D313" s="20"/>
      <c r="E313" s="20"/>
      <c r="F313" s="20"/>
      <c r="G313" s="65"/>
    </row>
    <row r="314" ht="15.75" customHeight="1">
      <c r="A314" s="110"/>
      <c r="B314" s="20"/>
      <c r="C314" s="20"/>
      <c r="D314" s="20"/>
      <c r="E314" s="20"/>
      <c r="F314" s="20"/>
      <c r="G314" s="65"/>
    </row>
    <row r="315" ht="15.75" customHeight="1">
      <c r="A315" s="110"/>
      <c r="B315" s="20"/>
      <c r="C315" s="20"/>
      <c r="D315" s="20"/>
      <c r="E315" s="20"/>
      <c r="F315" s="20"/>
      <c r="G315" s="65"/>
    </row>
    <row r="316" ht="15.75" customHeight="1">
      <c r="A316" s="110"/>
      <c r="B316" s="20"/>
      <c r="C316" s="20"/>
      <c r="D316" s="20"/>
      <c r="E316" s="20"/>
      <c r="F316" s="20"/>
      <c r="G316" s="65"/>
    </row>
    <row r="317" ht="15.75" customHeight="1">
      <c r="A317" s="110"/>
      <c r="B317" s="20"/>
      <c r="C317" s="20"/>
      <c r="D317" s="20"/>
      <c r="E317" s="20"/>
      <c r="F317" s="20"/>
      <c r="G317" s="65"/>
    </row>
    <row r="318" ht="15.75" customHeight="1">
      <c r="A318" s="110"/>
      <c r="B318" s="20"/>
      <c r="C318" s="20"/>
      <c r="D318" s="20"/>
      <c r="E318" s="20"/>
      <c r="F318" s="20"/>
      <c r="G318" s="65"/>
    </row>
    <row r="319" ht="15.75" customHeight="1">
      <c r="A319" s="110"/>
      <c r="B319" s="20"/>
      <c r="C319" s="20"/>
      <c r="D319" s="20"/>
      <c r="E319" s="20"/>
      <c r="F319" s="20"/>
      <c r="G319" s="65"/>
    </row>
    <row r="320" ht="15.75" customHeight="1">
      <c r="A320" s="110"/>
      <c r="B320" s="20"/>
      <c r="C320" s="20"/>
      <c r="D320" s="20"/>
      <c r="E320" s="20"/>
      <c r="F320" s="20"/>
      <c r="G320" s="65"/>
    </row>
    <row r="321" ht="15.75" customHeight="1">
      <c r="A321" s="110"/>
      <c r="B321" s="20"/>
      <c r="C321" s="20"/>
      <c r="D321" s="20"/>
      <c r="E321" s="20"/>
      <c r="F321" s="20"/>
      <c r="G321" s="65"/>
    </row>
    <row r="322" ht="15.75" customHeight="1">
      <c r="A322" s="110"/>
      <c r="B322" s="20"/>
      <c r="C322" s="20"/>
      <c r="D322" s="20"/>
      <c r="E322" s="20"/>
      <c r="F322" s="20"/>
      <c r="G322" s="65"/>
    </row>
    <row r="323" ht="15.75" customHeight="1">
      <c r="A323" s="110"/>
      <c r="B323" s="20"/>
      <c r="C323" s="20"/>
      <c r="D323" s="20"/>
      <c r="E323" s="20"/>
      <c r="F323" s="20"/>
      <c r="G323" s="65"/>
    </row>
    <row r="324" ht="15.75" customHeight="1">
      <c r="A324" s="110"/>
      <c r="B324" s="20"/>
      <c r="C324" s="20"/>
      <c r="D324" s="20"/>
      <c r="E324" s="20"/>
      <c r="F324" s="20"/>
      <c r="G324" s="65"/>
    </row>
    <row r="325" ht="15.75" customHeight="1">
      <c r="A325" s="110"/>
      <c r="B325" s="20"/>
      <c r="C325" s="20"/>
      <c r="D325" s="20"/>
      <c r="E325" s="20"/>
      <c r="F325" s="20"/>
      <c r="G325" s="65"/>
    </row>
    <row r="326" ht="15.75" customHeight="1">
      <c r="A326" s="110"/>
      <c r="B326" s="20"/>
      <c r="C326" s="20"/>
      <c r="D326" s="20"/>
      <c r="E326" s="20"/>
      <c r="F326" s="20"/>
      <c r="G326" s="65"/>
    </row>
    <row r="327" ht="15.75" customHeight="1">
      <c r="A327" s="110"/>
      <c r="B327" s="20"/>
      <c r="C327" s="20"/>
      <c r="D327" s="20"/>
      <c r="E327" s="20"/>
      <c r="F327" s="20"/>
      <c r="G327" s="65"/>
    </row>
    <row r="328" ht="15.75" customHeight="1">
      <c r="A328" s="110"/>
      <c r="B328" s="20"/>
      <c r="C328" s="20"/>
      <c r="D328" s="20"/>
      <c r="E328" s="20"/>
      <c r="F328" s="20"/>
      <c r="G328" s="65"/>
    </row>
    <row r="329" ht="15.75" customHeight="1">
      <c r="A329" s="110"/>
      <c r="B329" s="20"/>
      <c r="C329" s="20"/>
      <c r="D329" s="20"/>
      <c r="E329" s="20"/>
      <c r="F329" s="20"/>
      <c r="G329" s="65"/>
    </row>
    <row r="330" ht="15.75" customHeight="1">
      <c r="A330" s="110"/>
      <c r="B330" s="20"/>
      <c r="C330" s="20"/>
      <c r="D330" s="20"/>
      <c r="E330" s="20"/>
      <c r="F330" s="20"/>
      <c r="G330" s="65"/>
    </row>
    <row r="331" ht="15.75" customHeight="1">
      <c r="A331" s="110"/>
      <c r="B331" s="20"/>
      <c r="C331" s="20"/>
      <c r="D331" s="20"/>
      <c r="E331" s="20"/>
      <c r="F331" s="20"/>
      <c r="G331" s="65"/>
    </row>
    <row r="332" ht="15.75" customHeight="1">
      <c r="A332" s="110"/>
      <c r="B332" s="20"/>
      <c r="C332" s="20"/>
      <c r="D332" s="20"/>
      <c r="E332" s="20"/>
      <c r="F332" s="20"/>
      <c r="G332" s="65"/>
    </row>
    <row r="333" ht="15.75" customHeight="1">
      <c r="A333" s="110"/>
      <c r="B333" s="20"/>
      <c r="C333" s="20"/>
      <c r="D333" s="20"/>
      <c r="E333" s="20"/>
      <c r="F333" s="20"/>
      <c r="G333" s="65"/>
    </row>
    <row r="334" ht="15.75" customHeight="1">
      <c r="A334" s="110"/>
      <c r="B334" s="20"/>
      <c r="C334" s="20"/>
      <c r="D334" s="20"/>
      <c r="E334" s="20"/>
      <c r="F334" s="20"/>
      <c r="G334" s="65"/>
    </row>
    <row r="335" ht="15.75" customHeight="1">
      <c r="A335" s="110"/>
      <c r="B335" s="20"/>
      <c r="C335" s="20"/>
      <c r="D335" s="20"/>
      <c r="E335" s="20"/>
      <c r="F335" s="20"/>
      <c r="G335" s="65"/>
    </row>
    <row r="336" ht="15.75" customHeight="1">
      <c r="A336" s="110"/>
      <c r="B336" s="20"/>
      <c r="C336" s="20"/>
      <c r="D336" s="20"/>
      <c r="E336" s="20"/>
      <c r="F336" s="20"/>
      <c r="G336" s="65"/>
    </row>
    <row r="337" ht="15.75" customHeight="1">
      <c r="A337" s="110"/>
      <c r="B337" s="20"/>
      <c r="C337" s="20"/>
      <c r="D337" s="20"/>
      <c r="E337" s="20"/>
      <c r="F337" s="20"/>
      <c r="G337" s="65"/>
    </row>
    <row r="338" ht="15.75" customHeight="1">
      <c r="A338" s="110"/>
      <c r="B338" s="20"/>
      <c r="C338" s="20"/>
      <c r="D338" s="20"/>
      <c r="E338" s="20"/>
      <c r="F338" s="20"/>
      <c r="G338" s="65"/>
    </row>
    <row r="339" ht="15.75" customHeight="1">
      <c r="A339" s="110"/>
      <c r="B339" s="20"/>
      <c r="C339" s="20"/>
      <c r="D339" s="20"/>
      <c r="E339" s="20"/>
      <c r="F339" s="20"/>
      <c r="G339" s="65"/>
    </row>
    <row r="340" ht="15.75" customHeight="1">
      <c r="A340" s="110"/>
      <c r="B340" s="20"/>
      <c r="C340" s="20"/>
      <c r="D340" s="20"/>
      <c r="E340" s="20"/>
      <c r="F340" s="20"/>
      <c r="G340" s="65"/>
    </row>
    <row r="341" ht="15.75" customHeight="1">
      <c r="A341" s="110"/>
      <c r="B341" s="20"/>
      <c r="C341" s="20"/>
      <c r="D341" s="20"/>
      <c r="E341" s="20"/>
      <c r="F341" s="20"/>
      <c r="G341" s="65"/>
    </row>
    <row r="342" ht="15.75" customHeight="1">
      <c r="A342" s="110"/>
      <c r="B342" s="20"/>
      <c r="C342" s="20"/>
      <c r="D342" s="20"/>
      <c r="E342" s="20"/>
      <c r="F342" s="20"/>
      <c r="G342" s="65"/>
    </row>
    <row r="343" ht="15.75" customHeight="1">
      <c r="A343" s="110"/>
      <c r="B343" s="20"/>
      <c r="C343" s="20"/>
      <c r="D343" s="20"/>
      <c r="E343" s="20"/>
      <c r="F343" s="20"/>
      <c r="G343" s="65"/>
    </row>
    <row r="344" ht="15.75" customHeight="1">
      <c r="A344" s="110"/>
      <c r="B344" s="20"/>
      <c r="C344" s="20"/>
      <c r="D344" s="20"/>
      <c r="E344" s="20"/>
      <c r="F344" s="20"/>
      <c r="G344" s="65"/>
    </row>
    <row r="345" ht="15.75" customHeight="1">
      <c r="A345" s="110"/>
      <c r="B345" s="20"/>
      <c r="C345" s="20"/>
      <c r="D345" s="20"/>
      <c r="E345" s="20"/>
      <c r="F345" s="20"/>
      <c r="G345" s="65"/>
    </row>
    <row r="346" ht="15.75" customHeight="1">
      <c r="A346" s="110"/>
      <c r="B346" s="20"/>
      <c r="C346" s="20"/>
      <c r="D346" s="20"/>
      <c r="E346" s="20"/>
      <c r="F346" s="20"/>
      <c r="G346" s="65"/>
    </row>
    <row r="347" ht="15.75" customHeight="1">
      <c r="A347" s="110"/>
      <c r="B347" s="20"/>
      <c r="C347" s="20"/>
      <c r="D347" s="20"/>
      <c r="E347" s="20"/>
      <c r="F347" s="20"/>
      <c r="G347" s="65"/>
    </row>
    <row r="348" ht="15.75" customHeight="1">
      <c r="A348" s="110"/>
      <c r="B348" s="20"/>
      <c r="C348" s="20"/>
      <c r="D348" s="20"/>
      <c r="E348" s="20"/>
      <c r="F348" s="20"/>
      <c r="G348" s="65"/>
    </row>
    <row r="349" ht="15.75" customHeight="1">
      <c r="A349" s="110"/>
      <c r="B349" s="20"/>
      <c r="C349" s="20"/>
      <c r="D349" s="20"/>
      <c r="E349" s="20"/>
      <c r="F349" s="20"/>
      <c r="G349" s="65"/>
    </row>
    <row r="350" ht="15.75" customHeight="1">
      <c r="A350" s="110"/>
      <c r="B350" s="20"/>
      <c r="C350" s="20"/>
      <c r="D350" s="20"/>
      <c r="E350" s="20"/>
      <c r="F350" s="20"/>
      <c r="G350" s="65"/>
    </row>
    <row r="351" ht="15.75" customHeight="1">
      <c r="A351" s="110"/>
      <c r="B351" s="20"/>
      <c r="C351" s="20"/>
      <c r="D351" s="20"/>
      <c r="E351" s="20"/>
      <c r="F351" s="20"/>
      <c r="G351" s="65"/>
    </row>
    <row r="352" ht="15.75" customHeight="1">
      <c r="A352" s="110"/>
      <c r="B352" s="20"/>
      <c r="C352" s="20"/>
      <c r="D352" s="20"/>
      <c r="E352" s="20"/>
      <c r="F352" s="20"/>
      <c r="G352" s="65"/>
    </row>
    <row r="353" ht="15.75" customHeight="1">
      <c r="A353" s="110"/>
      <c r="B353" s="20"/>
      <c r="C353" s="20"/>
      <c r="D353" s="20"/>
      <c r="E353" s="20"/>
      <c r="F353" s="20"/>
      <c r="G353" s="65"/>
    </row>
    <row r="354" ht="15.75" customHeight="1">
      <c r="A354" s="110"/>
      <c r="B354" s="20"/>
      <c r="C354" s="20"/>
      <c r="D354" s="20"/>
      <c r="E354" s="20"/>
      <c r="F354" s="20"/>
      <c r="G354" s="65"/>
    </row>
    <row r="355" ht="15.75" customHeight="1">
      <c r="A355" s="110"/>
      <c r="B355" s="20"/>
      <c r="C355" s="20"/>
      <c r="D355" s="20"/>
      <c r="E355" s="20"/>
      <c r="F355" s="20"/>
      <c r="G355" s="65"/>
    </row>
    <row r="356" ht="15.75" customHeight="1">
      <c r="A356" s="110"/>
      <c r="B356" s="20"/>
      <c r="C356" s="20"/>
      <c r="D356" s="20"/>
      <c r="E356" s="20"/>
      <c r="F356" s="20"/>
      <c r="G356" s="65"/>
    </row>
    <row r="357" ht="15.75" customHeight="1">
      <c r="A357" s="110"/>
      <c r="B357" s="20"/>
      <c r="C357" s="20"/>
      <c r="D357" s="20"/>
      <c r="E357" s="20"/>
      <c r="F357" s="20"/>
      <c r="G357" s="65"/>
    </row>
    <row r="358" ht="15.75" customHeight="1">
      <c r="A358" s="110"/>
      <c r="B358" s="20"/>
      <c r="C358" s="20"/>
      <c r="D358" s="20"/>
      <c r="E358" s="20"/>
      <c r="F358" s="20"/>
      <c r="G358" s="65"/>
    </row>
    <row r="359" ht="15.75" customHeight="1">
      <c r="A359" s="110"/>
      <c r="B359" s="20"/>
      <c r="C359" s="20"/>
      <c r="D359" s="20"/>
      <c r="E359" s="20"/>
      <c r="F359" s="20"/>
      <c r="G359" s="65"/>
    </row>
    <row r="360" ht="15.75" customHeight="1">
      <c r="A360" s="110"/>
      <c r="B360" s="20"/>
      <c r="C360" s="20"/>
      <c r="D360" s="20"/>
      <c r="E360" s="20"/>
      <c r="F360" s="20"/>
      <c r="G360" s="65"/>
    </row>
    <row r="361" ht="15.75" customHeight="1">
      <c r="A361" s="110"/>
      <c r="B361" s="20"/>
      <c r="C361" s="20"/>
      <c r="D361" s="20"/>
      <c r="E361" s="20"/>
      <c r="F361" s="20"/>
      <c r="G361" s="65"/>
    </row>
    <row r="362" ht="15.75" customHeight="1">
      <c r="A362" s="110"/>
      <c r="B362" s="20"/>
      <c r="C362" s="20"/>
      <c r="D362" s="20"/>
      <c r="E362" s="20"/>
      <c r="F362" s="20"/>
      <c r="G362" s="65"/>
    </row>
    <row r="363" ht="15.75" customHeight="1">
      <c r="A363" s="110"/>
      <c r="B363" s="20"/>
      <c r="C363" s="20"/>
      <c r="D363" s="20"/>
      <c r="E363" s="20"/>
      <c r="F363" s="20"/>
      <c r="G363" s="65"/>
    </row>
    <row r="364" ht="15.75" customHeight="1">
      <c r="A364" s="110"/>
      <c r="B364" s="20"/>
      <c r="C364" s="20"/>
      <c r="D364" s="20"/>
      <c r="E364" s="20"/>
      <c r="F364" s="20"/>
      <c r="G364" s="65"/>
    </row>
    <row r="365" ht="15.75" customHeight="1">
      <c r="A365" s="110"/>
      <c r="B365" s="20"/>
      <c r="C365" s="20"/>
      <c r="D365" s="20"/>
      <c r="E365" s="20"/>
      <c r="F365" s="20"/>
      <c r="G365" s="65"/>
    </row>
    <row r="366" ht="15.75" customHeight="1">
      <c r="A366" s="110"/>
      <c r="B366" s="20"/>
      <c r="C366" s="20"/>
      <c r="D366" s="20"/>
      <c r="E366" s="20"/>
      <c r="F366" s="20"/>
      <c r="G366" s="65"/>
    </row>
    <row r="367" ht="15.75" customHeight="1">
      <c r="A367" s="110"/>
      <c r="B367" s="20"/>
      <c r="C367" s="20"/>
      <c r="D367" s="20"/>
      <c r="E367" s="20"/>
      <c r="F367" s="20"/>
      <c r="G367" s="65"/>
    </row>
    <row r="368" ht="15.75" customHeight="1">
      <c r="A368" s="110"/>
      <c r="B368" s="20"/>
      <c r="C368" s="20"/>
      <c r="D368" s="20"/>
      <c r="E368" s="20"/>
      <c r="F368" s="20"/>
      <c r="G368" s="65"/>
    </row>
    <row r="369" ht="15.75" customHeight="1">
      <c r="A369" s="110"/>
      <c r="B369" s="20"/>
      <c r="C369" s="20"/>
      <c r="D369" s="20"/>
      <c r="E369" s="20"/>
      <c r="F369" s="20"/>
      <c r="G369" s="65"/>
    </row>
    <row r="370" ht="15.75" customHeight="1">
      <c r="A370" s="110"/>
      <c r="B370" s="20"/>
      <c r="C370" s="20"/>
      <c r="D370" s="20"/>
      <c r="E370" s="20"/>
      <c r="F370" s="20"/>
      <c r="G370" s="65"/>
    </row>
    <row r="371" ht="15.75" customHeight="1">
      <c r="A371" s="110"/>
      <c r="B371" s="20"/>
      <c r="C371" s="20"/>
      <c r="D371" s="20"/>
      <c r="E371" s="20"/>
      <c r="F371" s="20"/>
      <c r="G371" s="65"/>
    </row>
    <row r="372" ht="15.75" customHeight="1">
      <c r="A372" s="110"/>
      <c r="B372" s="20"/>
      <c r="C372" s="20"/>
      <c r="D372" s="20"/>
      <c r="E372" s="20"/>
      <c r="F372" s="20"/>
      <c r="G372" s="65"/>
    </row>
    <row r="373" ht="15.75" customHeight="1">
      <c r="A373" s="110"/>
      <c r="B373" s="20"/>
      <c r="C373" s="20"/>
      <c r="D373" s="20"/>
      <c r="E373" s="20"/>
      <c r="F373" s="20"/>
      <c r="G373" s="65"/>
    </row>
    <row r="374" ht="15.75" customHeight="1">
      <c r="A374" s="110"/>
      <c r="B374" s="20"/>
      <c r="C374" s="20"/>
      <c r="D374" s="20"/>
      <c r="E374" s="20"/>
      <c r="F374" s="20"/>
      <c r="G374" s="65"/>
    </row>
    <row r="375" ht="15.75" customHeight="1">
      <c r="A375" s="110"/>
      <c r="B375" s="20"/>
      <c r="C375" s="20"/>
      <c r="D375" s="20"/>
      <c r="E375" s="20"/>
      <c r="F375" s="20"/>
      <c r="G375" s="65"/>
    </row>
    <row r="376" ht="15.75" customHeight="1">
      <c r="A376" s="110"/>
      <c r="B376" s="20"/>
      <c r="C376" s="20"/>
      <c r="D376" s="20"/>
      <c r="E376" s="20"/>
      <c r="F376" s="20"/>
      <c r="G376" s="65"/>
    </row>
    <row r="377" ht="15.75" customHeight="1">
      <c r="A377" s="110"/>
      <c r="B377" s="20"/>
      <c r="C377" s="20"/>
      <c r="D377" s="20"/>
      <c r="E377" s="20"/>
      <c r="F377" s="20"/>
      <c r="G377" s="65"/>
    </row>
    <row r="378" ht="15.75" customHeight="1">
      <c r="A378" s="110"/>
      <c r="B378" s="20"/>
      <c r="C378" s="20"/>
      <c r="D378" s="20"/>
      <c r="E378" s="20"/>
      <c r="F378" s="20"/>
      <c r="G378" s="65"/>
    </row>
    <row r="379" ht="15.75" customHeight="1">
      <c r="A379" s="110"/>
      <c r="B379" s="20"/>
      <c r="C379" s="20"/>
      <c r="D379" s="20"/>
      <c r="E379" s="20"/>
      <c r="F379" s="20"/>
      <c r="G379" s="65"/>
    </row>
    <row r="380" ht="15.75" customHeight="1">
      <c r="A380" s="110"/>
      <c r="B380" s="20"/>
      <c r="C380" s="20"/>
      <c r="D380" s="20"/>
      <c r="E380" s="20"/>
      <c r="F380" s="20"/>
      <c r="G380" s="65"/>
    </row>
    <row r="381" ht="15.75" customHeight="1">
      <c r="A381" s="110"/>
      <c r="B381" s="20"/>
      <c r="C381" s="20"/>
      <c r="D381" s="20"/>
      <c r="E381" s="20"/>
      <c r="F381" s="20"/>
      <c r="G381" s="65"/>
    </row>
    <row r="382" ht="15.75" customHeight="1">
      <c r="A382" s="110"/>
      <c r="B382" s="20"/>
      <c r="C382" s="20"/>
      <c r="D382" s="20"/>
      <c r="E382" s="20"/>
      <c r="F382" s="20"/>
      <c r="G382" s="65"/>
    </row>
    <row r="383" ht="15.75" customHeight="1">
      <c r="A383" s="110"/>
      <c r="B383" s="20"/>
      <c r="C383" s="20"/>
      <c r="D383" s="20"/>
      <c r="E383" s="20"/>
      <c r="F383" s="20"/>
      <c r="G383" s="65"/>
    </row>
    <row r="384" ht="15.75" customHeight="1">
      <c r="A384" s="110"/>
      <c r="B384" s="20"/>
      <c r="C384" s="20"/>
      <c r="D384" s="20"/>
      <c r="E384" s="20"/>
      <c r="F384" s="20"/>
      <c r="G384" s="65"/>
    </row>
    <row r="385" ht="15.75" customHeight="1">
      <c r="A385" s="110"/>
      <c r="B385" s="20"/>
      <c r="C385" s="20"/>
      <c r="D385" s="20"/>
      <c r="E385" s="20"/>
      <c r="F385" s="20"/>
      <c r="G385" s="65"/>
    </row>
    <row r="386" ht="15.75" customHeight="1">
      <c r="A386" s="110"/>
      <c r="B386" s="20"/>
      <c r="C386" s="20"/>
      <c r="D386" s="20"/>
      <c r="E386" s="20"/>
      <c r="F386" s="20"/>
      <c r="G386" s="65"/>
    </row>
    <row r="387" ht="15.75" customHeight="1">
      <c r="A387" s="110"/>
      <c r="B387" s="20"/>
      <c r="C387" s="20"/>
      <c r="D387" s="20"/>
      <c r="E387" s="20"/>
      <c r="F387" s="20"/>
      <c r="G387" s="65"/>
    </row>
    <row r="388" ht="15.75" customHeight="1">
      <c r="A388" s="110"/>
      <c r="B388" s="20"/>
      <c r="C388" s="20"/>
      <c r="D388" s="20"/>
      <c r="E388" s="20"/>
      <c r="F388" s="20"/>
      <c r="G388" s="65"/>
    </row>
    <row r="389" ht="15.75" customHeight="1">
      <c r="A389" s="110"/>
      <c r="B389" s="20"/>
      <c r="C389" s="20"/>
      <c r="D389" s="20"/>
      <c r="E389" s="20"/>
      <c r="F389" s="20"/>
      <c r="G389" s="65"/>
    </row>
    <row r="390" ht="15.75" customHeight="1">
      <c r="A390" s="110"/>
      <c r="B390" s="20"/>
      <c r="C390" s="20"/>
      <c r="D390" s="20"/>
      <c r="E390" s="20"/>
      <c r="F390" s="20"/>
      <c r="G390" s="65"/>
    </row>
    <row r="391" ht="15.75" customHeight="1">
      <c r="A391" s="110"/>
      <c r="B391" s="20"/>
      <c r="C391" s="20"/>
      <c r="D391" s="20"/>
      <c r="E391" s="20"/>
      <c r="F391" s="20"/>
      <c r="G391" s="65"/>
    </row>
    <row r="392" ht="15.75" customHeight="1">
      <c r="A392" s="110"/>
      <c r="B392" s="20"/>
      <c r="C392" s="20"/>
      <c r="D392" s="20"/>
      <c r="E392" s="20"/>
      <c r="F392" s="20"/>
      <c r="G392" s="65"/>
    </row>
    <row r="393" ht="15.75" customHeight="1">
      <c r="A393" s="110"/>
      <c r="B393" s="20"/>
      <c r="C393" s="20"/>
      <c r="D393" s="20"/>
      <c r="E393" s="20"/>
      <c r="F393" s="20"/>
      <c r="G393" s="65"/>
    </row>
    <row r="394" ht="15.75" customHeight="1">
      <c r="A394" s="110"/>
      <c r="B394" s="20"/>
      <c r="C394" s="20"/>
      <c r="D394" s="20"/>
      <c r="E394" s="20"/>
      <c r="F394" s="20"/>
      <c r="G394" s="65"/>
    </row>
    <row r="395" ht="15.75" customHeight="1">
      <c r="A395" s="110"/>
      <c r="B395" s="20"/>
      <c r="C395" s="20"/>
      <c r="D395" s="20"/>
      <c r="E395" s="20"/>
      <c r="F395" s="20"/>
      <c r="G395" s="65"/>
    </row>
    <row r="396" ht="15.75" customHeight="1">
      <c r="A396" s="110"/>
      <c r="B396" s="20"/>
      <c r="C396" s="20"/>
      <c r="D396" s="20"/>
      <c r="E396" s="20"/>
      <c r="F396" s="20"/>
      <c r="G396" s="65"/>
    </row>
    <row r="397" ht="15.75" customHeight="1">
      <c r="A397" s="110"/>
      <c r="B397" s="20"/>
      <c r="C397" s="20"/>
      <c r="D397" s="20"/>
      <c r="E397" s="20"/>
      <c r="F397" s="20"/>
      <c r="G397" s="65"/>
    </row>
    <row r="398" ht="15.75" customHeight="1">
      <c r="A398" s="110"/>
      <c r="B398" s="20"/>
      <c r="C398" s="20"/>
      <c r="D398" s="20"/>
      <c r="E398" s="20"/>
      <c r="F398" s="20"/>
      <c r="G398" s="65"/>
    </row>
    <row r="399" ht="15.75" customHeight="1">
      <c r="A399" s="110"/>
      <c r="B399" s="20"/>
      <c r="C399" s="20"/>
      <c r="D399" s="20"/>
      <c r="E399" s="20"/>
      <c r="F399" s="20"/>
      <c r="G399" s="65"/>
    </row>
    <row r="400" ht="15.75" customHeight="1">
      <c r="A400" s="110"/>
      <c r="B400" s="20"/>
      <c r="C400" s="20"/>
      <c r="D400" s="20"/>
      <c r="E400" s="20"/>
      <c r="F400" s="20"/>
      <c r="G400" s="65"/>
    </row>
    <row r="401" ht="15.75" customHeight="1">
      <c r="A401" s="110"/>
      <c r="B401" s="20"/>
      <c r="C401" s="20"/>
      <c r="D401" s="20"/>
      <c r="E401" s="20"/>
      <c r="F401" s="20"/>
      <c r="G401" s="65"/>
    </row>
    <row r="402" ht="15.75" customHeight="1">
      <c r="A402" s="110"/>
      <c r="B402" s="20"/>
      <c r="C402" s="20"/>
      <c r="D402" s="20"/>
      <c r="E402" s="20"/>
      <c r="F402" s="20"/>
      <c r="G402" s="65"/>
    </row>
    <row r="403" ht="15.75" customHeight="1">
      <c r="A403" s="110"/>
      <c r="B403" s="20"/>
      <c r="C403" s="20"/>
      <c r="D403" s="20"/>
      <c r="E403" s="20"/>
      <c r="F403" s="20"/>
      <c r="G403" s="65"/>
    </row>
    <row r="404" ht="15.75" customHeight="1">
      <c r="A404" s="110"/>
      <c r="B404" s="20"/>
      <c r="C404" s="20"/>
      <c r="D404" s="20"/>
      <c r="E404" s="20"/>
      <c r="F404" s="20"/>
      <c r="G404" s="65"/>
    </row>
    <row r="405" ht="15.75" customHeight="1">
      <c r="A405" s="110"/>
      <c r="B405" s="20"/>
      <c r="C405" s="20"/>
      <c r="D405" s="20"/>
      <c r="E405" s="20"/>
      <c r="F405" s="20"/>
      <c r="G405" s="65"/>
    </row>
    <row r="406" ht="15.75" customHeight="1">
      <c r="A406" s="110"/>
      <c r="B406" s="20"/>
      <c r="C406" s="20"/>
      <c r="D406" s="20"/>
      <c r="E406" s="20"/>
      <c r="F406" s="20"/>
      <c r="G406" s="65"/>
    </row>
    <row r="407" ht="15.75" customHeight="1">
      <c r="A407" s="110"/>
      <c r="B407" s="20"/>
      <c r="C407" s="20"/>
      <c r="D407" s="20"/>
      <c r="E407" s="20"/>
      <c r="F407" s="20"/>
      <c r="G407" s="65"/>
    </row>
    <row r="408" ht="15.75" customHeight="1">
      <c r="A408" s="110"/>
      <c r="B408" s="20"/>
      <c r="C408" s="20"/>
      <c r="D408" s="20"/>
      <c r="E408" s="20"/>
      <c r="F408" s="20"/>
      <c r="G408" s="65"/>
    </row>
    <row r="409" ht="15.75" customHeight="1">
      <c r="A409" s="110"/>
      <c r="B409" s="20"/>
      <c r="C409" s="20"/>
      <c r="D409" s="20"/>
      <c r="E409" s="20"/>
      <c r="F409" s="20"/>
      <c r="G409" s="65"/>
    </row>
    <row r="410" ht="15.75" customHeight="1">
      <c r="A410" s="110"/>
      <c r="B410" s="20"/>
      <c r="C410" s="20"/>
      <c r="D410" s="20"/>
      <c r="E410" s="20"/>
      <c r="F410" s="20"/>
      <c r="G410" s="65"/>
    </row>
    <row r="411" ht="15.75" customHeight="1">
      <c r="A411" s="110"/>
      <c r="B411" s="20"/>
      <c r="C411" s="20"/>
      <c r="D411" s="20"/>
      <c r="E411" s="20"/>
      <c r="F411" s="20"/>
      <c r="G411" s="65"/>
    </row>
    <row r="412" ht="15.75" customHeight="1">
      <c r="A412" s="110"/>
      <c r="B412" s="20"/>
      <c r="C412" s="20"/>
      <c r="D412" s="20"/>
      <c r="E412" s="20"/>
      <c r="F412" s="20"/>
      <c r="G412" s="65"/>
    </row>
    <row r="413" ht="15.75" customHeight="1">
      <c r="A413" s="110"/>
      <c r="B413" s="20"/>
      <c r="C413" s="20"/>
      <c r="D413" s="20"/>
      <c r="E413" s="20"/>
      <c r="F413" s="20"/>
      <c r="G413" s="65"/>
    </row>
    <row r="414" ht="15.75" customHeight="1">
      <c r="A414" s="110"/>
      <c r="B414" s="20"/>
      <c r="C414" s="20"/>
      <c r="D414" s="20"/>
      <c r="E414" s="20"/>
      <c r="F414" s="20"/>
      <c r="G414" s="65"/>
    </row>
    <row r="415" ht="15.75" customHeight="1">
      <c r="A415" s="110"/>
      <c r="B415" s="20"/>
      <c r="C415" s="20"/>
      <c r="D415" s="20"/>
      <c r="E415" s="20"/>
      <c r="F415" s="20"/>
      <c r="G415" s="65"/>
    </row>
    <row r="416" ht="15.75" customHeight="1">
      <c r="A416" s="110"/>
      <c r="B416" s="20"/>
      <c r="C416" s="20"/>
      <c r="D416" s="20"/>
      <c r="E416" s="20"/>
      <c r="F416" s="20"/>
      <c r="G416" s="65"/>
    </row>
    <row r="417" ht="15.75" customHeight="1">
      <c r="A417" s="110"/>
      <c r="B417" s="20"/>
      <c r="C417" s="20"/>
      <c r="D417" s="20"/>
      <c r="E417" s="20"/>
      <c r="F417" s="20"/>
      <c r="G417" s="65"/>
    </row>
    <row r="418" ht="15.75" customHeight="1">
      <c r="A418" s="110"/>
      <c r="B418" s="20"/>
      <c r="C418" s="20"/>
      <c r="D418" s="20"/>
      <c r="E418" s="20"/>
      <c r="F418" s="20"/>
      <c r="G418" s="65"/>
    </row>
    <row r="419" ht="15.75" customHeight="1">
      <c r="A419" s="110"/>
      <c r="B419" s="20"/>
      <c r="C419" s="20"/>
      <c r="D419" s="20"/>
      <c r="E419" s="20"/>
      <c r="F419" s="20"/>
      <c r="G419" s="65"/>
    </row>
    <row r="420" ht="15.75" customHeight="1">
      <c r="A420" s="110"/>
      <c r="B420" s="20"/>
      <c r="C420" s="20"/>
      <c r="D420" s="20"/>
      <c r="E420" s="20"/>
      <c r="F420" s="20"/>
      <c r="G420" s="65"/>
    </row>
    <row r="421" ht="15.75" customHeight="1">
      <c r="A421" s="110"/>
      <c r="B421" s="20"/>
      <c r="C421" s="20"/>
      <c r="D421" s="20"/>
      <c r="E421" s="20"/>
      <c r="F421" s="20"/>
      <c r="G421" s="65"/>
    </row>
    <row r="422" ht="15.75" customHeight="1">
      <c r="A422" s="110"/>
      <c r="B422" s="20"/>
      <c r="C422" s="20"/>
      <c r="D422" s="20"/>
      <c r="E422" s="20"/>
      <c r="F422" s="20"/>
      <c r="G422" s="65"/>
    </row>
    <row r="423" ht="15.75" customHeight="1">
      <c r="A423" s="110"/>
      <c r="B423" s="20"/>
      <c r="C423" s="20"/>
      <c r="D423" s="20"/>
      <c r="E423" s="20"/>
      <c r="F423" s="20"/>
      <c r="G423" s="65"/>
    </row>
    <row r="424" ht="15.75" customHeight="1">
      <c r="A424" s="110"/>
      <c r="B424" s="20"/>
      <c r="C424" s="20"/>
      <c r="D424" s="20"/>
      <c r="E424" s="20"/>
      <c r="F424" s="20"/>
      <c r="G424" s="65"/>
    </row>
    <row r="425" ht="15.75" customHeight="1">
      <c r="A425" s="110"/>
      <c r="B425" s="20"/>
      <c r="C425" s="20"/>
      <c r="D425" s="20"/>
      <c r="E425" s="20"/>
      <c r="F425" s="20"/>
      <c r="G425" s="65"/>
    </row>
    <row r="426" ht="15.75" customHeight="1">
      <c r="A426" s="110"/>
      <c r="B426" s="20"/>
      <c r="C426" s="20"/>
      <c r="D426" s="20"/>
      <c r="E426" s="20"/>
      <c r="F426" s="20"/>
      <c r="G426" s="65"/>
    </row>
    <row r="427" ht="15.75" customHeight="1">
      <c r="A427" s="110"/>
      <c r="B427" s="20"/>
      <c r="C427" s="20"/>
      <c r="D427" s="20"/>
      <c r="E427" s="20"/>
      <c r="F427" s="20"/>
      <c r="G427" s="65"/>
    </row>
    <row r="428" ht="15.75" customHeight="1">
      <c r="A428" s="110"/>
      <c r="B428" s="20"/>
      <c r="C428" s="20"/>
      <c r="D428" s="20"/>
      <c r="E428" s="20"/>
      <c r="F428" s="20"/>
      <c r="G428" s="65"/>
    </row>
    <row r="429" ht="15.75" customHeight="1">
      <c r="A429" s="110"/>
      <c r="B429" s="20"/>
      <c r="C429" s="20"/>
      <c r="D429" s="20"/>
      <c r="E429" s="20"/>
      <c r="F429" s="20"/>
      <c r="G429" s="65"/>
    </row>
    <row r="430" ht="15.75" customHeight="1">
      <c r="A430" s="110"/>
      <c r="B430" s="20"/>
      <c r="C430" s="20"/>
      <c r="D430" s="20"/>
      <c r="E430" s="20"/>
      <c r="F430" s="20"/>
      <c r="G430" s="65"/>
    </row>
    <row r="431" ht="15.75" customHeight="1">
      <c r="A431" s="110"/>
      <c r="B431" s="20"/>
      <c r="C431" s="20"/>
      <c r="D431" s="20"/>
      <c r="E431" s="20"/>
      <c r="F431" s="20"/>
      <c r="G431" s="65"/>
    </row>
    <row r="432" ht="15.75" customHeight="1">
      <c r="A432" s="110"/>
      <c r="B432" s="20"/>
      <c r="C432" s="20"/>
      <c r="D432" s="20"/>
      <c r="E432" s="20"/>
      <c r="F432" s="20"/>
      <c r="G432" s="65"/>
    </row>
    <row r="433" ht="15.75" customHeight="1">
      <c r="A433" s="110"/>
      <c r="B433" s="20"/>
      <c r="C433" s="20"/>
      <c r="D433" s="20"/>
      <c r="E433" s="20"/>
      <c r="F433" s="20"/>
      <c r="G433" s="65"/>
    </row>
    <row r="434" ht="15.75" customHeight="1">
      <c r="A434" s="110"/>
      <c r="B434" s="20"/>
      <c r="C434" s="20"/>
      <c r="D434" s="20"/>
      <c r="E434" s="20"/>
      <c r="F434" s="20"/>
      <c r="G434" s="65"/>
    </row>
    <row r="435" ht="15.75" customHeight="1">
      <c r="A435" s="110"/>
      <c r="B435" s="20"/>
      <c r="C435" s="20"/>
      <c r="D435" s="20"/>
      <c r="E435" s="20"/>
      <c r="F435" s="20"/>
      <c r="G435" s="65"/>
    </row>
    <row r="436" ht="15.75" customHeight="1">
      <c r="A436" s="110"/>
      <c r="B436" s="20"/>
      <c r="C436" s="20"/>
      <c r="D436" s="20"/>
      <c r="E436" s="20"/>
      <c r="F436" s="20"/>
      <c r="G436" s="65"/>
    </row>
    <row r="437" ht="15.75" customHeight="1">
      <c r="A437" s="110"/>
      <c r="B437" s="20"/>
      <c r="C437" s="20"/>
      <c r="D437" s="20"/>
      <c r="E437" s="20"/>
      <c r="F437" s="20"/>
      <c r="G437" s="65"/>
    </row>
    <row r="438" ht="15.75" customHeight="1">
      <c r="A438" s="110"/>
      <c r="B438" s="20"/>
      <c r="C438" s="20"/>
      <c r="D438" s="20"/>
      <c r="E438" s="20"/>
      <c r="F438" s="20"/>
      <c r="G438" s="65"/>
    </row>
    <row r="439" ht="15.75" customHeight="1">
      <c r="A439" s="110"/>
      <c r="B439" s="20"/>
      <c r="C439" s="20"/>
      <c r="D439" s="20"/>
      <c r="E439" s="20"/>
      <c r="F439" s="20"/>
      <c r="G439" s="65"/>
    </row>
    <row r="440" ht="15.75" customHeight="1">
      <c r="A440" s="110"/>
      <c r="B440" s="20"/>
      <c r="C440" s="20"/>
      <c r="D440" s="20"/>
      <c r="E440" s="20"/>
      <c r="F440" s="20"/>
      <c r="G440" s="65"/>
    </row>
    <row r="441" ht="15.75" customHeight="1">
      <c r="A441" s="110"/>
      <c r="B441" s="20"/>
      <c r="C441" s="20"/>
      <c r="D441" s="20"/>
      <c r="E441" s="20"/>
      <c r="F441" s="20"/>
      <c r="G441" s="65"/>
    </row>
    <row r="442" ht="15.75" customHeight="1">
      <c r="A442" s="110"/>
      <c r="B442" s="20"/>
      <c r="C442" s="20"/>
      <c r="D442" s="20"/>
      <c r="E442" s="20"/>
      <c r="F442" s="20"/>
      <c r="G442" s="65"/>
    </row>
    <row r="443" ht="15.75" customHeight="1">
      <c r="A443" s="110"/>
      <c r="B443" s="20"/>
      <c r="C443" s="20"/>
      <c r="D443" s="20"/>
      <c r="E443" s="20"/>
      <c r="F443" s="20"/>
      <c r="G443" s="65"/>
    </row>
    <row r="444" ht="15.75" customHeight="1">
      <c r="A444" s="110"/>
      <c r="B444" s="20"/>
      <c r="C444" s="20"/>
      <c r="D444" s="20"/>
      <c r="E444" s="20"/>
      <c r="F444" s="20"/>
      <c r="G444" s="65"/>
    </row>
    <row r="445" ht="15.75" customHeight="1">
      <c r="A445" s="110"/>
      <c r="B445" s="20"/>
      <c r="C445" s="20"/>
      <c r="D445" s="20"/>
      <c r="E445" s="20"/>
      <c r="F445" s="20"/>
      <c r="G445" s="65"/>
    </row>
    <row r="446" ht="15.75" customHeight="1">
      <c r="A446" s="110"/>
      <c r="B446" s="20"/>
      <c r="C446" s="20"/>
      <c r="D446" s="20"/>
      <c r="E446" s="20"/>
      <c r="F446" s="20"/>
      <c r="G446" s="65"/>
    </row>
    <row r="447" ht="15.75" customHeight="1">
      <c r="A447" s="110"/>
      <c r="B447" s="20"/>
      <c r="C447" s="20"/>
      <c r="D447" s="20"/>
      <c r="E447" s="20"/>
      <c r="F447" s="20"/>
      <c r="G447" s="65"/>
    </row>
    <row r="448" ht="15.75" customHeight="1">
      <c r="A448" s="110"/>
      <c r="B448" s="20"/>
      <c r="C448" s="20"/>
      <c r="D448" s="20"/>
      <c r="E448" s="20"/>
      <c r="F448" s="20"/>
      <c r="G448" s="65"/>
    </row>
    <row r="449" ht="15.75" customHeight="1">
      <c r="A449" s="110"/>
      <c r="B449" s="20"/>
      <c r="C449" s="20"/>
      <c r="D449" s="20"/>
      <c r="E449" s="20"/>
      <c r="F449" s="20"/>
      <c r="G449" s="65"/>
    </row>
    <row r="450" ht="15.75" customHeight="1">
      <c r="A450" s="110"/>
      <c r="B450" s="20"/>
      <c r="C450" s="20"/>
      <c r="D450" s="20"/>
      <c r="E450" s="20"/>
      <c r="F450" s="20"/>
      <c r="G450" s="65"/>
    </row>
    <row r="451" ht="15.75" customHeight="1">
      <c r="A451" s="110"/>
      <c r="B451" s="20"/>
      <c r="C451" s="20"/>
      <c r="D451" s="20"/>
      <c r="E451" s="20"/>
      <c r="F451" s="20"/>
      <c r="G451" s="65"/>
    </row>
    <row r="452" ht="15.75" customHeight="1">
      <c r="A452" s="110"/>
      <c r="B452" s="20"/>
      <c r="C452" s="20"/>
      <c r="D452" s="20"/>
      <c r="E452" s="20"/>
      <c r="F452" s="20"/>
      <c r="G452" s="65"/>
    </row>
    <row r="453" ht="15.75" customHeight="1">
      <c r="A453" s="110"/>
      <c r="B453" s="20"/>
      <c r="C453" s="20"/>
      <c r="D453" s="20"/>
      <c r="E453" s="20"/>
      <c r="F453" s="20"/>
      <c r="G453" s="65"/>
    </row>
    <row r="454" ht="15.75" customHeight="1">
      <c r="A454" s="110"/>
      <c r="B454" s="20"/>
      <c r="C454" s="20"/>
      <c r="D454" s="20"/>
      <c r="E454" s="20"/>
      <c r="F454" s="20"/>
      <c r="G454" s="65"/>
    </row>
    <row r="455" ht="15.75" customHeight="1">
      <c r="A455" s="110"/>
      <c r="B455" s="20"/>
      <c r="C455" s="20"/>
      <c r="D455" s="20"/>
      <c r="E455" s="20"/>
      <c r="F455" s="20"/>
      <c r="G455" s="65"/>
    </row>
    <row r="456" ht="15.75" customHeight="1">
      <c r="A456" s="110"/>
      <c r="B456" s="20"/>
      <c r="C456" s="20"/>
      <c r="D456" s="20"/>
      <c r="E456" s="20"/>
      <c r="F456" s="20"/>
      <c r="G456" s="65"/>
    </row>
    <row r="457" ht="15.75" customHeight="1">
      <c r="A457" s="110"/>
      <c r="B457" s="20"/>
      <c r="C457" s="20"/>
      <c r="D457" s="20"/>
      <c r="E457" s="20"/>
      <c r="F457" s="20"/>
      <c r="G457" s="65"/>
    </row>
    <row r="458" ht="15.75" customHeight="1">
      <c r="A458" s="110"/>
      <c r="B458" s="20"/>
      <c r="C458" s="20"/>
      <c r="D458" s="20"/>
      <c r="E458" s="20"/>
      <c r="F458" s="20"/>
      <c r="G458" s="65"/>
    </row>
    <row r="459" ht="15.75" customHeight="1">
      <c r="A459" s="110"/>
      <c r="B459" s="20"/>
      <c r="C459" s="20"/>
      <c r="D459" s="20"/>
      <c r="E459" s="20"/>
      <c r="F459" s="20"/>
      <c r="G459" s="65"/>
    </row>
    <row r="460" ht="15.75" customHeight="1">
      <c r="A460" s="110"/>
      <c r="B460" s="20"/>
      <c r="C460" s="20"/>
      <c r="D460" s="20"/>
      <c r="E460" s="20"/>
      <c r="F460" s="20"/>
      <c r="G460" s="65"/>
    </row>
    <row r="461" ht="15.75" customHeight="1">
      <c r="A461" s="110"/>
      <c r="B461" s="20"/>
      <c r="C461" s="20"/>
      <c r="D461" s="20"/>
      <c r="E461" s="20"/>
      <c r="F461" s="20"/>
      <c r="G461" s="65"/>
    </row>
    <row r="462" ht="15.75" customHeight="1">
      <c r="A462" s="110"/>
      <c r="B462" s="20"/>
      <c r="C462" s="20"/>
      <c r="D462" s="20"/>
      <c r="E462" s="20"/>
      <c r="F462" s="20"/>
      <c r="G462" s="65"/>
    </row>
    <row r="463" ht="15.75" customHeight="1">
      <c r="A463" s="110"/>
      <c r="B463" s="20"/>
      <c r="C463" s="20"/>
      <c r="D463" s="20"/>
      <c r="E463" s="20"/>
      <c r="F463" s="20"/>
      <c r="G463" s="65"/>
    </row>
    <row r="464" ht="15.75" customHeight="1">
      <c r="A464" s="110"/>
      <c r="B464" s="20"/>
      <c r="C464" s="20"/>
      <c r="D464" s="20"/>
      <c r="E464" s="20"/>
      <c r="F464" s="20"/>
      <c r="G464" s="65"/>
    </row>
    <row r="465" ht="15.75" customHeight="1">
      <c r="A465" s="110"/>
      <c r="B465" s="20"/>
      <c r="C465" s="20"/>
      <c r="D465" s="20"/>
      <c r="E465" s="20"/>
      <c r="F465" s="20"/>
      <c r="G465" s="65"/>
    </row>
    <row r="466" ht="15.75" customHeight="1">
      <c r="A466" s="110"/>
      <c r="B466" s="20"/>
      <c r="C466" s="20"/>
      <c r="D466" s="20"/>
      <c r="E466" s="20"/>
      <c r="F466" s="20"/>
      <c r="G466" s="65"/>
    </row>
    <row r="467" ht="15.75" customHeight="1">
      <c r="A467" s="110"/>
      <c r="B467" s="20"/>
      <c r="C467" s="20"/>
      <c r="D467" s="20"/>
      <c r="E467" s="20"/>
      <c r="F467" s="20"/>
      <c r="G467" s="65"/>
    </row>
    <row r="468" ht="15.75" customHeight="1">
      <c r="A468" s="110"/>
      <c r="B468" s="20"/>
      <c r="C468" s="20"/>
      <c r="D468" s="20"/>
      <c r="E468" s="20"/>
      <c r="F468" s="20"/>
      <c r="G468" s="65"/>
    </row>
    <row r="469" ht="15.75" customHeight="1">
      <c r="A469" s="110"/>
      <c r="B469" s="20"/>
      <c r="C469" s="20"/>
      <c r="D469" s="20"/>
      <c r="E469" s="20"/>
      <c r="F469" s="20"/>
      <c r="G469" s="65"/>
    </row>
    <row r="470" ht="15.75" customHeight="1">
      <c r="A470" s="110"/>
      <c r="B470" s="20"/>
      <c r="C470" s="20"/>
      <c r="D470" s="20"/>
      <c r="E470" s="20"/>
      <c r="F470" s="20"/>
      <c r="G470" s="65"/>
    </row>
    <row r="471" ht="15.75" customHeight="1">
      <c r="A471" s="110"/>
      <c r="B471" s="20"/>
      <c r="C471" s="20"/>
      <c r="D471" s="20"/>
      <c r="E471" s="20"/>
      <c r="F471" s="20"/>
      <c r="G471" s="65"/>
    </row>
    <row r="472" ht="15.75" customHeight="1">
      <c r="A472" s="110"/>
      <c r="B472" s="20"/>
      <c r="C472" s="20"/>
      <c r="D472" s="20"/>
      <c r="E472" s="20"/>
      <c r="F472" s="20"/>
      <c r="G472" s="65"/>
    </row>
    <row r="473" ht="15.75" customHeight="1">
      <c r="A473" s="110"/>
      <c r="B473" s="20"/>
      <c r="C473" s="20"/>
      <c r="D473" s="20"/>
      <c r="E473" s="20"/>
      <c r="F473" s="20"/>
      <c r="G473" s="65"/>
    </row>
    <row r="474" ht="15.75" customHeight="1">
      <c r="A474" s="110"/>
      <c r="B474" s="20"/>
      <c r="C474" s="20"/>
      <c r="D474" s="20"/>
      <c r="E474" s="20"/>
      <c r="F474" s="20"/>
      <c r="G474" s="65"/>
    </row>
    <row r="475" ht="15.75" customHeight="1">
      <c r="A475" s="110"/>
      <c r="B475" s="20"/>
      <c r="C475" s="20"/>
      <c r="D475" s="20"/>
      <c r="E475" s="20"/>
      <c r="F475" s="20"/>
      <c r="G475" s="65"/>
    </row>
    <row r="476" ht="15.75" customHeight="1">
      <c r="A476" s="110"/>
      <c r="B476" s="20"/>
      <c r="C476" s="20"/>
      <c r="D476" s="20"/>
      <c r="E476" s="20"/>
      <c r="F476" s="20"/>
      <c r="G476" s="65"/>
    </row>
    <row r="477" ht="15.75" customHeight="1">
      <c r="A477" s="110"/>
      <c r="B477" s="20"/>
      <c r="C477" s="20"/>
      <c r="D477" s="20"/>
      <c r="E477" s="20"/>
      <c r="F477" s="20"/>
      <c r="G477" s="65"/>
    </row>
    <row r="478" ht="15.75" customHeight="1">
      <c r="A478" s="110"/>
      <c r="B478" s="20"/>
      <c r="C478" s="20"/>
      <c r="D478" s="20"/>
      <c r="E478" s="20"/>
      <c r="F478" s="20"/>
      <c r="G478" s="65"/>
    </row>
    <row r="479" ht="15.75" customHeight="1">
      <c r="A479" s="110"/>
      <c r="B479" s="20"/>
      <c r="C479" s="20"/>
      <c r="D479" s="20"/>
      <c r="E479" s="20"/>
      <c r="F479" s="20"/>
      <c r="G479" s="65"/>
    </row>
    <row r="480" ht="15.75" customHeight="1">
      <c r="A480" s="110"/>
      <c r="B480" s="20"/>
      <c r="C480" s="20"/>
      <c r="D480" s="20"/>
      <c r="E480" s="20"/>
      <c r="F480" s="20"/>
      <c r="G480" s="65"/>
    </row>
    <row r="481" ht="15.75" customHeight="1">
      <c r="A481" s="110"/>
      <c r="B481" s="20"/>
      <c r="C481" s="20"/>
      <c r="D481" s="20"/>
      <c r="E481" s="20"/>
      <c r="F481" s="20"/>
      <c r="G481" s="65"/>
    </row>
    <row r="482" ht="15.75" customHeight="1">
      <c r="A482" s="110"/>
      <c r="B482" s="20"/>
      <c r="C482" s="20"/>
      <c r="D482" s="20"/>
      <c r="E482" s="20"/>
      <c r="F482" s="20"/>
      <c r="G482" s="65"/>
    </row>
    <row r="483" ht="15.75" customHeight="1">
      <c r="A483" s="110"/>
      <c r="B483" s="20"/>
      <c r="C483" s="20"/>
      <c r="D483" s="20"/>
      <c r="E483" s="20"/>
      <c r="F483" s="20"/>
      <c r="G483" s="65"/>
    </row>
    <row r="484" ht="15.75" customHeight="1">
      <c r="A484" s="110"/>
      <c r="B484" s="20"/>
      <c r="C484" s="20"/>
      <c r="D484" s="20"/>
      <c r="E484" s="20"/>
      <c r="F484" s="20"/>
      <c r="G484" s="65"/>
    </row>
    <row r="485" ht="15.75" customHeight="1">
      <c r="A485" s="110"/>
      <c r="B485" s="20"/>
      <c r="C485" s="20"/>
      <c r="D485" s="20"/>
      <c r="E485" s="20"/>
      <c r="F485" s="20"/>
      <c r="G485" s="65"/>
    </row>
    <row r="486" ht="15.75" customHeight="1">
      <c r="A486" s="110"/>
      <c r="B486" s="20"/>
      <c r="C486" s="20"/>
      <c r="D486" s="20"/>
      <c r="E486" s="20"/>
      <c r="F486" s="20"/>
      <c r="G486" s="65"/>
    </row>
    <row r="487" ht="15.75" customHeight="1">
      <c r="A487" s="110"/>
      <c r="B487" s="20"/>
      <c r="C487" s="20"/>
      <c r="D487" s="20"/>
      <c r="E487" s="20"/>
      <c r="F487" s="20"/>
      <c r="G487" s="65"/>
    </row>
    <row r="488" ht="15.75" customHeight="1">
      <c r="A488" s="110"/>
      <c r="B488" s="20"/>
      <c r="C488" s="20"/>
      <c r="D488" s="20"/>
      <c r="E488" s="20"/>
      <c r="F488" s="20"/>
      <c r="G488" s="65"/>
    </row>
    <row r="489" ht="15.75" customHeight="1">
      <c r="A489" s="110"/>
      <c r="B489" s="20"/>
      <c r="C489" s="20"/>
      <c r="D489" s="20"/>
      <c r="E489" s="20"/>
      <c r="F489" s="20"/>
      <c r="G489" s="65"/>
    </row>
    <row r="490" ht="15.75" customHeight="1">
      <c r="A490" s="110"/>
      <c r="B490" s="20"/>
      <c r="C490" s="20"/>
      <c r="D490" s="20"/>
      <c r="E490" s="20"/>
      <c r="F490" s="20"/>
      <c r="G490" s="65"/>
    </row>
    <row r="491" ht="15.75" customHeight="1">
      <c r="A491" s="110"/>
      <c r="B491" s="20"/>
      <c r="C491" s="20"/>
      <c r="D491" s="20"/>
      <c r="E491" s="20"/>
      <c r="F491" s="20"/>
      <c r="G491" s="65"/>
    </row>
    <row r="492" ht="15.75" customHeight="1">
      <c r="A492" s="110"/>
      <c r="B492" s="20"/>
      <c r="C492" s="20"/>
      <c r="D492" s="20"/>
      <c r="E492" s="20"/>
      <c r="F492" s="20"/>
      <c r="G492" s="65"/>
    </row>
    <row r="493" ht="15.75" customHeight="1">
      <c r="A493" s="110"/>
      <c r="B493" s="20"/>
      <c r="C493" s="20"/>
      <c r="D493" s="20"/>
      <c r="E493" s="20"/>
      <c r="F493" s="20"/>
      <c r="G493" s="65"/>
    </row>
    <row r="494" ht="15.75" customHeight="1">
      <c r="A494" s="110"/>
      <c r="B494" s="20"/>
      <c r="C494" s="20"/>
      <c r="D494" s="20"/>
      <c r="E494" s="20"/>
      <c r="F494" s="20"/>
      <c r="G494" s="65"/>
    </row>
    <row r="495" ht="15.75" customHeight="1">
      <c r="A495" s="110"/>
      <c r="B495" s="20"/>
      <c r="C495" s="20"/>
      <c r="D495" s="20"/>
      <c r="E495" s="20"/>
      <c r="F495" s="20"/>
      <c r="G495" s="65"/>
    </row>
    <row r="496" ht="15.75" customHeight="1">
      <c r="A496" s="110"/>
      <c r="B496" s="20"/>
      <c r="C496" s="20"/>
      <c r="D496" s="20"/>
      <c r="E496" s="20"/>
      <c r="F496" s="20"/>
      <c r="G496" s="65"/>
    </row>
    <row r="497" ht="15.75" customHeight="1">
      <c r="A497" s="110"/>
      <c r="B497" s="20"/>
      <c r="C497" s="20"/>
      <c r="D497" s="20"/>
      <c r="E497" s="20"/>
      <c r="F497" s="20"/>
      <c r="G497" s="65"/>
    </row>
    <row r="498" ht="15.75" customHeight="1">
      <c r="A498" s="110"/>
      <c r="B498" s="20"/>
      <c r="C498" s="20"/>
      <c r="D498" s="20"/>
      <c r="E498" s="20"/>
      <c r="F498" s="20"/>
      <c r="G498" s="65"/>
    </row>
    <row r="499" ht="15.75" customHeight="1">
      <c r="A499" s="110"/>
      <c r="B499" s="20"/>
      <c r="C499" s="20"/>
      <c r="D499" s="20"/>
      <c r="E499" s="20"/>
      <c r="F499" s="20"/>
      <c r="G499" s="65"/>
    </row>
    <row r="500" ht="15.75" customHeight="1">
      <c r="A500" s="110"/>
      <c r="B500" s="20"/>
      <c r="C500" s="20"/>
      <c r="D500" s="20"/>
      <c r="E500" s="20"/>
      <c r="F500" s="20"/>
      <c r="G500" s="65"/>
    </row>
    <row r="501" ht="15.75" customHeight="1">
      <c r="A501" s="110"/>
      <c r="B501" s="20"/>
      <c r="C501" s="20"/>
      <c r="D501" s="20"/>
      <c r="E501" s="20"/>
      <c r="F501" s="20"/>
      <c r="G501" s="65"/>
    </row>
    <row r="502" ht="15.75" customHeight="1">
      <c r="A502" s="110"/>
      <c r="B502" s="20"/>
      <c r="C502" s="20"/>
      <c r="D502" s="20"/>
      <c r="E502" s="20"/>
      <c r="F502" s="20"/>
      <c r="G502" s="65"/>
    </row>
    <row r="503" ht="15.75" customHeight="1">
      <c r="A503" s="110"/>
      <c r="B503" s="20"/>
      <c r="C503" s="20"/>
      <c r="D503" s="20"/>
      <c r="E503" s="20"/>
      <c r="F503" s="20"/>
      <c r="G503" s="65"/>
    </row>
    <row r="504" ht="15.75" customHeight="1">
      <c r="A504" s="110"/>
      <c r="B504" s="20"/>
      <c r="C504" s="20"/>
      <c r="D504" s="20"/>
      <c r="E504" s="20"/>
      <c r="F504" s="20"/>
      <c r="G504" s="65"/>
    </row>
    <row r="505" ht="15.75" customHeight="1">
      <c r="A505" s="110"/>
      <c r="B505" s="20"/>
      <c r="C505" s="20"/>
      <c r="D505" s="20"/>
      <c r="E505" s="20"/>
      <c r="F505" s="20"/>
      <c r="G505" s="65"/>
    </row>
    <row r="506" ht="15.75" customHeight="1">
      <c r="A506" s="110"/>
      <c r="B506" s="20"/>
      <c r="C506" s="20"/>
      <c r="D506" s="20"/>
      <c r="E506" s="20"/>
      <c r="F506" s="20"/>
      <c r="G506" s="65"/>
    </row>
    <row r="507" ht="15.75" customHeight="1">
      <c r="A507" s="110"/>
      <c r="B507" s="20"/>
      <c r="C507" s="20"/>
      <c r="D507" s="20"/>
      <c r="E507" s="20"/>
      <c r="F507" s="20"/>
      <c r="G507" s="65"/>
    </row>
    <row r="508" ht="15.75" customHeight="1">
      <c r="A508" s="110"/>
      <c r="B508" s="20"/>
      <c r="C508" s="20"/>
      <c r="D508" s="20"/>
      <c r="E508" s="20"/>
      <c r="F508" s="20"/>
      <c r="G508" s="65"/>
    </row>
    <row r="509" ht="15.75" customHeight="1">
      <c r="A509" s="110"/>
      <c r="B509" s="20"/>
      <c r="C509" s="20"/>
      <c r="D509" s="20"/>
      <c r="E509" s="20"/>
      <c r="F509" s="20"/>
      <c r="G509" s="65"/>
    </row>
    <row r="510" ht="15.75" customHeight="1">
      <c r="A510" s="110"/>
      <c r="B510" s="20"/>
      <c r="C510" s="20"/>
      <c r="D510" s="20"/>
      <c r="E510" s="20"/>
      <c r="F510" s="20"/>
      <c r="G510" s="65"/>
    </row>
    <row r="511" ht="15.75" customHeight="1">
      <c r="A511" s="110"/>
      <c r="B511" s="20"/>
      <c r="C511" s="20"/>
      <c r="D511" s="20"/>
      <c r="E511" s="20"/>
      <c r="F511" s="20"/>
      <c r="G511" s="65"/>
    </row>
    <row r="512" ht="15.75" customHeight="1">
      <c r="A512" s="110"/>
      <c r="B512" s="20"/>
      <c r="C512" s="20"/>
      <c r="D512" s="20"/>
      <c r="E512" s="20"/>
      <c r="F512" s="20"/>
      <c r="G512" s="65"/>
    </row>
    <row r="513" ht="15.75" customHeight="1">
      <c r="A513" s="110"/>
      <c r="B513" s="20"/>
      <c r="C513" s="20"/>
      <c r="D513" s="20"/>
      <c r="E513" s="20"/>
      <c r="F513" s="20"/>
      <c r="G513" s="65"/>
    </row>
    <row r="514" ht="15.75" customHeight="1">
      <c r="A514" s="110"/>
      <c r="B514" s="20"/>
      <c r="C514" s="20"/>
      <c r="D514" s="20"/>
      <c r="E514" s="20"/>
      <c r="F514" s="20"/>
      <c r="G514" s="65"/>
    </row>
    <row r="515" ht="15.75" customHeight="1">
      <c r="A515" s="110"/>
      <c r="B515" s="20"/>
      <c r="C515" s="20"/>
      <c r="D515" s="20"/>
      <c r="E515" s="20"/>
      <c r="F515" s="20"/>
      <c r="G515" s="65"/>
    </row>
    <row r="516" ht="15.75" customHeight="1">
      <c r="A516" s="110"/>
      <c r="B516" s="20"/>
      <c r="C516" s="20"/>
      <c r="D516" s="20"/>
      <c r="E516" s="20"/>
      <c r="F516" s="20"/>
      <c r="G516" s="65"/>
    </row>
    <row r="517" ht="15.75" customHeight="1">
      <c r="A517" s="110"/>
      <c r="B517" s="20"/>
      <c r="C517" s="20"/>
      <c r="D517" s="20"/>
      <c r="E517" s="20"/>
      <c r="F517" s="20"/>
      <c r="G517" s="65"/>
    </row>
    <row r="518" ht="15.75" customHeight="1">
      <c r="A518" s="110"/>
      <c r="B518" s="20"/>
      <c r="C518" s="20"/>
      <c r="D518" s="20"/>
      <c r="E518" s="20"/>
      <c r="F518" s="20"/>
      <c r="G518" s="65"/>
    </row>
    <row r="519" ht="15.75" customHeight="1">
      <c r="A519" s="110"/>
      <c r="B519" s="20"/>
      <c r="C519" s="20"/>
      <c r="D519" s="20"/>
      <c r="E519" s="20"/>
      <c r="F519" s="20"/>
      <c r="G519" s="65"/>
    </row>
    <row r="520" ht="15.75" customHeight="1">
      <c r="A520" s="110"/>
      <c r="B520" s="20"/>
      <c r="C520" s="20"/>
      <c r="D520" s="20"/>
      <c r="E520" s="20"/>
      <c r="F520" s="20"/>
      <c r="G520" s="65"/>
    </row>
    <row r="521" ht="15.75" customHeight="1">
      <c r="A521" s="110"/>
      <c r="B521" s="20"/>
      <c r="C521" s="20"/>
      <c r="D521" s="20"/>
      <c r="E521" s="20"/>
      <c r="F521" s="20"/>
      <c r="G521" s="65"/>
    </row>
    <row r="522" ht="15.75" customHeight="1">
      <c r="A522" s="110"/>
      <c r="B522" s="20"/>
      <c r="C522" s="20"/>
      <c r="D522" s="20"/>
      <c r="E522" s="20"/>
      <c r="F522" s="20"/>
      <c r="G522" s="65"/>
    </row>
    <row r="523" ht="15.75" customHeight="1">
      <c r="A523" s="110"/>
      <c r="B523" s="20"/>
      <c r="C523" s="20"/>
      <c r="D523" s="20"/>
      <c r="E523" s="20"/>
      <c r="F523" s="20"/>
      <c r="G523" s="65"/>
    </row>
    <row r="524" ht="15.75" customHeight="1">
      <c r="A524" s="110"/>
      <c r="B524" s="20"/>
      <c r="C524" s="20"/>
      <c r="D524" s="20"/>
      <c r="E524" s="20"/>
      <c r="F524" s="20"/>
      <c r="G524" s="65"/>
    </row>
    <row r="525" ht="15.75" customHeight="1">
      <c r="A525" s="110"/>
      <c r="B525" s="20"/>
      <c r="C525" s="20"/>
      <c r="D525" s="20"/>
      <c r="E525" s="20"/>
      <c r="F525" s="20"/>
      <c r="G525" s="65"/>
    </row>
    <row r="526" ht="15.75" customHeight="1">
      <c r="A526" s="110"/>
      <c r="B526" s="20"/>
      <c r="C526" s="20"/>
      <c r="D526" s="20"/>
      <c r="E526" s="20"/>
      <c r="F526" s="20"/>
      <c r="G526" s="65"/>
    </row>
    <row r="527" ht="15.75" customHeight="1">
      <c r="A527" s="110"/>
      <c r="B527" s="20"/>
      <c r="C527" s="20"/>
      <c r="D527" s="20"/>
      <c r="E527" s="20"/>
      <c r="F527" s="20"/>
      <c r="G527" s="65"/>
    </row>
    <row r="528" ht="15.75" customHeight="1">
      <c r="A528" s="110"/>
      <c r="B528" s="20"/>
      <c r="C528" s="20"/>
      <c r="D528" s="20"/>
      <c r="E528" s="20"/>
      <c r="F528" s="20"/>
      <c r="G528" s="65"/>
    </row>
    <row r="529" ht="15.75" customHeight="1">
      <c r="A529" s="110"/>
      <c r="B529" s="20"/>
      <c r="C529" s="20"/>
      <c r="D529" s="20"/>
      <c r="E529" s="20"/>
      <c r="F529" s="20"/>
      <c r="G529" s="65"/>
    </row>
    <row r="530" ht="15.75" customHeight="1">
      <c r="A530" s="110"/>
      <c r="B530" s="20"/>
      <c r="C530" s="20"/>
      <c r="D530" s="20"/>
      <c r="E530" s="20"/>
      <c r="F530" s="20"/>
      <c r="G530" s="65"/>
    </row>
    <row r="531" ht="15.75" customHeight="1">
      <c r="A531" s="110"/>
      <c r="B531" s="20"/>
      <c r="C531" s="20"/>
      <c r="D531" s="20"/>
      <c r="E531" s="20"/>
      <c r="F531" s="20"/>
      <c r="G531" s="65"/>
    </row>
    <row r="532" ht="15.75" customHeight="1">
      <c r="A532" s="110"/>
      <c r="B532" s="20"/>
      <c r="C532" s="20"/>
      <c r="D532" s="20"/>
      <c r="E532" s="20"/>
      <c r="F532" s="20"/>
      <c r="G532" s="65"/>
    </row>
    <row r="533" ht="15.75" customHeight="1">
      <c r="A533" s="110"/>
      <c r="B533" s="20"/>
      <c r="C533" s="20"/>
      <c r="D533" s="20"/>
      <c r="E533" s="20"/>
      <c r="F533" s="20"/>
      <c r="G533" s="65"/>
    </row>
    <row r="534" ht="15.75" customHeight="1">
      <c r="A534" s="110"/>
      <c r="B534" s="20"/>
      <c r="C534" s="20"/>
      <c r="D534" s="20"/>
      <c r="E534" s="20"/>
      <c r="F534" s="20"/>
      <c r="G534" s="65"/>
    </row>
    <row r="535" ht="15.75" customHeight="1">
      <c r="A535" s="110"/>
      <c r="B535" s="20"/>
      <c r="C535" s="20"/>
      <c r="D535" s="20"/>
      <c r="E535" s="20"/>
      <c r="F535" s="20"/>
      <c r="G535" s="65"/>
    </row>
    <row r="536" ht="15.75" customHeight="1">
      <c r="A536" s="110"/>
      <c r="B536" s="20"/>
      <c r="C536" s="20"/>
      <c r="D536" s="20"/>
      <c r="E536" s="20"/>
      <c r="F536" s="20"/>
      <c r="G536" s="65"/>
    </row>
    <row r="537" ht="15.75" customHeight="1">
      <c r="A537" s="110"/>
      <c r="B537" s="20"/>
      <c r="C537" s="20"/>
      <c r="D537" s="20"/>
      <c r="E537" s="20"/>
      <c r="F537" s="20"/>
      <c r="G537" s="65"/>
    </row>
    <row r="538" ht="15.75" customHeight="1">
      <c r="A538" s="110"/>
      <c r="B538" s="20"/>
      <c r="C538" s="20"/>
      <c r="D538" s="20"/>
      <c r="E538" s="20"/>
      <c r="F538" s="20"/>
      <c r="G538" s="65"/>
    </row>
    <row r="539" ht="15.75" customHeight="1">
      <c r="A539" s="110"/>
      <c r="B539" s="20"/>
      <c r="C539" s="20"/>
      <c r="D539" s="20"/>
      <c r="E539" s="20"/>
      <c r="F539" s="20"/>
      <c r="G539" s="65"/>
    </row>
    <row r="540" ht="15.75" customHeight="1">
      <c r="A540" s="110"/>
      <c r="B540" s="20"/>
      <c r="C540" s="20"/>
      <c r="D540" s="20"/>
      <c r="E540" s="20"/>
      <c r="F540" s="20"/>
      <c r="G540" s="65"/>
    </row>
    <row r="541" ht="15.75" customHeight="1">
      <c r="A541" s="110"/>
      <c r="B541" s="20"/>
      <c r="C541" s="20"/>
      <c r="D541" s="20"/>
      <c r="E541" s="20"/>
      <c r="F541" s="20"/>
      <c r="G541" s="65"/>
    </row>
    <row r="542" ht="15.75" customHeight="1">
      <c r="A542" s="110"/>
      <c r="B542" s="20"/>
      <c r="C542" s="20"/>
      <c r="D542" s="20"/>
      <c r="E542" s="20"/>
      <c r="F542" s="20"/>
      <c r="G542" s="65"/>
    </row>
    <row r="543" ht="15.75" customHeight="1">
      <c r="A543" s="110"/>
      <c r="B543" s="20"/>
      <c r="C543" s="20"/>
      <c r="D543" s="20"/>
      <c r="E543" s="20"/>
      <c r="F543" s="20"/>
      <c r="G543" s="65"/>
    </row>
    <row r="544" ht="15.75" customHeight="1">
      <c r="A544" s="110"/>
      <c r="B544" s="20"/>
      <c r="C544" s="20"/>
      <c r="D544" s="20"/>
      <c r="E544" s="20"/>
      <c r="F544" s="20"/>
      <c r="G544" s="65"/>
    </row>
    <row r="545" ht="15.75" customHeight="1">
      <c r="A545" s="110"/>
      <c r="B545" s="20"/>
      <c r="C545" s="20"/>
      <c r="D545" s="20"/>
      <c r="E545" s="20"/>
      <c r="F545" s="20"/>
      <c r="G545" s="65"/>
    </row>
    <row r="546" ht="15.75" customHeight="1">
      <c r="A546" s="110"/>
      <c r="B546" s="20"/>
      <c r="C546" s="20"/>
      <c r="D546" s="20"/>
      <c r="E546" s="20"/>
      <c r="F546" s="20"/>
      <c r="G546" s="65"/>
    </row>
    <row r="547" ht="15.75" customHeight="1">
      <c r="A547" s="110"/>
      <c r="B547" s="20"/>
      <c r="C547" s="20"/>
      <c r="D547" s="20"/>
      <c r="E547" s="20"/>
      <c r="F547" s="20"/>
      <c r="G547" s="65"/>
    </row>
    <row r="548" ht="15.75" customHeight="1">
      <c r="A548" s="110"/>
      <c r="B548" s="20"/>
      <c r="C548" s="20"/>
      <c r="D548" s="20"/>
      <c r="E548" s="20"/>
      <c r="F548" s="20"/>
      <c r="G548" s="65"/>
    </row>
    <row r="549" ht="15.75" customHeight="1">
      <c r="A549" s="110"/>
      <c r="B549" s="20"/>
      <c r="C549" s="20"/>
      <c r="D549" s="20"/>
      <c r="E549" s="20"/>
      <c r="F549" s="20"/>
      <c r="G549" s="65"/>
    </row>
    <row r="550" ht="15.75" customHeight="1">
      <c r="A550" s="110"/>
      <c r="B550" s="20"/>
      <c r="C550" s="20"/>
      <c r="D550" s="20"/>
      <c r="E550" s="20"/>
      <c r="F550" s="20"/>
      <c r="G550" s="65"/>
    </row>
    <row r="551" ht="15.75" customHeight="1">
      <c r="A551" s="110"/>
      <c r="B551" s="20"/>
      <c r="C551" s="20"/>
      <c r="D551" s="20"/>
      <c r="E551" s="20"/>
      <c r="F551" s="20"/>
      <c r="G551" s="65"/>
    </row>
    <row r="552" ht="15.75" customHeight="1">
      <c r="A552" s="110"/>
      <c r="B552" s="20"/>
      <c r="C552" s="20"/>
      <c r="D552" s="20"/>
      <c r="E552" s="20"/>
      <c r="F552" s="20"/>
      <c r="G552" s="65"/>
    </row>
    <row r="553" ht="15.75" customHeight="1">
      <c r="A553" s="110"/>
      <c r="B553" s="20"/>
      <c r="C553" s="20"/>
      <c r="D553" s="20"/>
      <c r="E553" s="20"/>
      <c r="F553" s="20"/>
      <c r="G553" s="65"/>
    </row>
    <row r="554" ht="15.75" customHeight="1">
      <c r="A554" s="110"/>
      <c r="B554" s="20"/>
      <c r="C554" s="20"/>
      <c r="D554" s="20"/>
      <c r="E554" s="20"/>
      <c r="F554" s="20"/>
      <c r="G554" s="65"/>
    </row>
    <row r="555" ht="15.75" customHeight="1">
      <c r="A555" s="110"/>
      <c r="B555" s="20"/>
      <c r="C555" s="20"/>
      <c r="D555" s="20"/>
      <c r="E555" s="20"/>
      <c r="F555" s="20"/>
      <c r="G555" s="65"/>
    </row>
    <row r="556" ht="15.75" customHeight="1">
      <c r="A556" s="110"/>
      <c r="B556" s="20"/>
      <c r="C556" s="20"/>
      <c r="D556" s="20"/>
      <c r="E556" s="20"/>
      <c r="F556" s="20"/>
      <c r="G556" s="65"/>
    </row>
    <row r="557" ht="15.75" customHeight="1">
      <c r="A557" s="110"/>
      <c r="B557" s="20"/>
      <c r="C557" s="20"/>
      <c r="D557" s="20"/>
      <c r="E557" s="20"/>
      <c r="F557" s="20"/>
      <c r="G557" s="65"/>
    </row>
    <row r="558" ht="15.75" customHeight="1">
      <c r="A558" s="110"/>
      <c r="B558" s="20"/>
      <c r="C558" s="20"/>
      <c r="D558" s="20"/>
      <c r="E558" s="20"/>
      <c r="F558" s="20"/>
      <c r="G558" s="65"/>
    </row>
    <row r="559" ht="15.75" customHeight="1">
      <c r="A559" s="110"/>
      <c r="B559" s="20"/>
      <c r="C559" s="20"/>
      <c r="D559" s="20"/>
      <c r="E559" s="20"/>
      <c r="F559" s="20"/>
      <c r="G559" s="65"/>
    </row>
    <row r="560" ht="15.75" customHeight="1">
      <c r="A560" s="110"/>
      <c r="B560" s="20"/>
      <c r="C560" s="20"/>
      <c r="D560" s="20"/>
      <c r="E560" s="20"/>
      <c r="F560" s="20"/>
      <c r="G560" s="65"/>
    </row>
    <row r="561" ht="15.75" customHeight="1">
      <c r="A561" s="110"/>
      <c r="B561" s="20"/>
      <c r="C561" s="20"/>
      <c r="D561" s="20"/>
      <c r="E561" s="20"/>
      <c r="F561" s="20"/>
      <c r="G561" s="65"/>
    </row>
    <row r="562" ht="15.75" customHeight="1">
      <c r="A562" s="110"/>
      <c r="B562" s="20"/>
      <c r="C562" s="20"/>
      <c r="D562" s="20"/>
      <c r="E562" s="20"/>
      <c r="F562" s="20"/>
      <c r="G562" s="65"/>
    </row>
    <row r="563" ht="15.75" customHeight="1">
      <c r="A563" s="110"/>
      <c r="B563" s="20"/>
      <c r="C563" s="20"/>
      <c r="D563" s="20"/>
      <c r="E563" s="20"/>
      <c r="F563" s="20"/>
      <c r="G563" s="65"/>
    </row>
    <row r="564" ht="15.75" customHeight="1">
      <c r="A564" s="110"/>
      <c r="B564" s="20"/>
      <c r="C564" s="20"/>
      <c r="D564" s="20"/>
      <c r="E564" s="20"/>
      <c r="F564" s="20"/>
      <c r="G564" s="65"/>
    </row>
    <row r="565" ht="15.75" customHeight="1">
      <c r="A565" s="110"/>
      <c r="B565" s="20"/>
      <c r="C565" s="20"/>
      <c r="D565" s="20"/>
      <c r="E565" s="20"/>
      <c r="F565" s="20"/>
      <c r="G565" s="65"/>
    </row>
    <row r="566" ht="15.75" customHeight="1">
      <c r="A566" s="110"/>
      <c r="B566" s="20"/>
      <c r="C566" s="20"/>
      <c r="D566" s="20"/>
      <c r="E566" s="20"/>
      <c r="F566" s="20"/>
      <c r="G566" s="65"/>
    </row>
    <row r="567" ht="15.75" customHeight="1">
      <c r="A567" s="110"/>
      <c r="B567" s="20"/>
      <c r="C567" s="20"/>
      <c r="D567" s="20"/>
      <c r="E567" s="20"/>
      <c r="F567" s="20"/>
      <c r="G567" s="65"/>
    </row>
    <row r="568" ht="15.75" customHeight="1">
      <c r="A568" s="110"/>
      <c r="B568" s="20"/>
      <c r="C568" s="20"/>
      <c r="D568" s="20"/>
      <c r="E568" s="20"/>
      <c r="F568" s="20"/>
      <c r="G568" s="65"/>
    </row>
    <row r="569" ht="15.75" customHeight="1">
      <c r="A569" s="110"/>
      <c r="B569" s="20"/>
      <c r="C569" s="20"/>
      <c r="D569" s="20"/>
      <c r="E569" s="20"/>
      <c r="F569" s="20"/>
      <c r="G569" s="65"/>
    </row>
    <row r="570" ht="15.75" customHeight="1">
      <c r="A570" s="110"/>
      <c r="B570" s="20"/>
      <c r="C570" s="20"/>
      <c r="D570" s="20"/>
      <c r="E570" s="20"/>
      <c r="F570" s="20"/>
      <c r="G570" s="65"/>
    </row>
    <row r="571" ht="15.75" customHeight="1">
      <c r="A571" s="110"/>
      <c r="B571" s="20"/>
      <c r="C571" s="20"/>
      <c r="D571" s="20"/>
      <c r="E571" s="20"/>
      <c r="F571" s="20"/>
      <c r="G571" s="65"/>
    </row>
    <row r="572" ht="15.75" customHeight="1">
      <c r="A572" s="110"/>
      <c r="B572" s="20"/>
      <c r="C572" s="20"/>
      <c r="D572" s="20"/>
      <c r="E572" s="20"/>
      <c r="F572" s="20"/>
      <c r="G572" s="65"/>
    </row>
    <row r="573" ht="15.75" customHeight="1">
      <c r="A573" s="110"/>
      <c r="B573" s="20"/>
      <c r="C573" s="20"/>
      <c r="D573" s="20"/>
      <c r="E573" s="20"/>
      <c r="F573" s="20"/>
      <c r="G573" s="65"/>
    </row>
    <row r="574" ht="15.75" customHeight="1">
      <c r="A574" s="110"/>
      <c r="B574" s="20"/>
      <c r="C574" s="20"/>
      <c r="D574" s="20"/>
      <c r="E574" s="20"/>
      <c r="F574" s="20"/>
      <c r="G574" s="65"/>
    </row>
    <row r="575" ht="15.75" customHeight="1">
      <c r="A575" s="110"/>
      <c r="B575" s="20"/>
      <c r="C575" s="20"/>
      <c r="D575" s="20"/>
      <c r="E575" s="20"/>
      <c r="F575" s="20"/>
      <c r="G575" s="65"/>
    </row>
    <row r="576" ht="15.75" customHeight="1">
      <c r="A576" s="110"/>
      <c r="B576" s="20"/>
      <c r="C576" s="20"/>
      <c r="D576" s="20"/>
      <c r="E576" s="20"/>
      <c r="F576" s="20"/>
      <c r="G576" s="65"/>
    </row>
    <row r="577" ht="15.75" customHeight="1">
      <c r="A577" s="110"/>
      <c r="B577" s="20"/>
      <c r="C577" s="20"/>
      <c r="D577" s="20"/>
      <c r="E577" s="20"/>
      <c r="F577" s="20"/>
      <c r="G577" s="65"/>
    </row>
    <row r="578" ht="15.75" customHeight="1">
      <c r="A578" s="110"/>
      <c r="B578" s="20"/>
      <c r="C578" s="20"/>
      <c r="D578" s="20"/>
      <c r="E578" s="20"/>
      <c r="F578" s="20"/>
      <c r="G578" s="65"/>
    </row>
    <row r="579" ht="15.75" customHeight="1">
      <c r="A579" s="110"/>
      <c r="B579" s="20"/>
      <c r="C579" s="20"/>
      <c r="D579" s="20"/>
      <c r="E579" s="20"/>
      <c r="F579" s="20"/>
      <c r="G579" s="65"/>
    </row>
    <row r="580" ht="15.75" customHeight="1">
      <c r="A580" s="110"/>
      <c r="B580" s="20"/>
      <c r="C580" s="20"/>
      <c r="D580" s="20"/>
      <c r="E580" s="20"/>
      <c r="F580" s="20"/>
      <c r="G580" s="65"/>
    </row>
    <row r="581" ht="15.75" customHeight="1">
      <c r="A581" s="110"/>
      <c r="B581" s="20"/>
      <c r="C581" s="20"/>
      <c r="D581" s="20"/>
      <c r="E581" s="20"/>
      <c r="F581" s="20"/>
      <c r="G581" s="65"/>
    </row>
    <row r="582" ht="15.75" customHeight="1">
      <c r="A582" s="110"/>
      <c r="B582" s="20"/>
      <c r="C582" s="20"/>
      <c r="D582" s="20"/>
      <c r="E582" s="20"/>
      <c r="F582" s="20"/>
      <c r="G582" s="65"/>
    </row>
    <row r="583" ht="15.75" customHeight="1">
      <c r="A583" s="110"/>
      <c r="B583" s="20"/>
      <c r="C583" s="20"/>
      <c r="D583" s="20"/>
      <c r="E583" s="20"/>
      <c r="F583" s="20"/>
      <c r="G583" s="65"/>
    </row>
    <row r="584" ht="15.75" customHeight="1">
      <c r="A584" s="110"/>
      <c r="B584" s="20"/>
      <c r="C584" s="20"/>
      <c r="D584" s="20"/>
      <c r="E584" s="20"/>
      <c r="F584" s="20"/>
      <c r="G584" s="65"/>
    </row>
    <row r="585" ht="15.75" customHeight="1">
      <c r="A585" s="110"/>
      <c r="B585" s="20"/>
      <c r="C585" s="20"/>
      <c r="D585" s="20"/>
      <c r="E585" s="20"/>
      <c r="F585" s="20"/>
      <c r="G585" s="65"/>
    </row>
    <row r="586" ht="15.75" customHeight="1">
      <c r="A586" s="110"/>
      <c r="B586" s="20"/>
      <c r="C586" s="20"/>
      <c r="D586" s="20"/>
      <c r="E586" s="20"/>
      <c r="F586" s="20"/>
      <c r="G586" s="65"/>
    </row>
    <row r="587" ht="15.75" customHeight="1">
      <c r="A587" s="110"/>
      <c r="B587" s="20"/>
      <c r="C587" s="20"/>
      <c r="D587" s="20"/>
      <c r="E587" s="20"/>
      <c r="F587" s="20"/>
      <c r="G587" s="65"/>
    </row>
    <row r="588" ht="15.75" customHeight="1">
      <c r="A588" s="110"/>
      <c r="B588" s="20"/>
      <c r="C588" s="20"/>
      <c r="D588" s="20"/>
      <c r="E588" s="20"/>
      <c r="F588" s="20"/>
      <c r="G588" s="65"/>
    </row>
    <row r="589" ht="15.75" customHeight="1">
      <c r="A589" s="110"/>
      <c r="B589" s="20"/>
      <c r="C589" s="20"/>
      <c r="D589" s="20"/>
      <c r="E589" s="20"/>
      <c r="F589" s="20"/>
      <c r="G589" s="65"/>
    </row>
    <row r="590" ht="15.75" customHeight="1">
      <c r="A590" s="110"/>
      <c r="B590" s="20"/>
      <c r="C590" s="20"/>
      <c r="D590" s="20"/>
      <c r="E590" s="20"/>
      <c r="F590" s="20"/>
      <c r="G590" s="65"/>
    </row>
    <row r="591" ht="15.75" customHeight="1">
      <c r="A591" s="110"/>
      <c r="B591" s="20"/>
      <c r="C591" s="20"/>
      <c r="D591" s="20"/>
      <c r="E591" s="20"/>
      <c r="F591" s="20"/>
      <c r="G591" s="65"/>
    </row>
    <row r="592" ht="15.75" customHeight="1">
      <c r="A592" s="110"/>
      <c r="B592" s="20"/>
      <c r="C592" s="20"/>
      <c r="D592" s="20"/>
      <c r="E592" s="20"/>
      <c r="F592" s="20"/>
      <c r="G592" s="65"/>
    </row>
    <row r="593" ht="15.75" customHeight="1">
      <c r="A593" s="110"/>
      <c r="B593" s="20"/>
      <c r="C593" s="20"/>
      <c r="D593" s="20"/>
      <c r="E593" s="20"/>
      <c r="F593" s="20"/>
      <c r="G593" s="65"/>
    </row>
    <row r="594" ht="15.75" customHeight="1">
      <c r="A594" s="110"/>
      <c r="B594" s="20"/>
      <c r="C594" s="20"/>
      <c r="D594" s="20"/>
      <c r="E594" s="20"/>
      <c r="F594" s="20"/>
      <c r="G594" s="65"/>
    </row>
    <row r="595" ht="15.75" customHeight="1">
      <c r="A595" s="110"/>
      <c r="B595" s="20"/>
      <c r="C595" s="20"/>
      <c r="D595" s="20"/>
      <c r="E595" s="20"/>
      <c r="F595" s="20"/>
      <c r="G595" s="65"/>
    </row>
    <row r="596" ht="15.75" customHeight="1">
      <c r="A596" s="110"/>
      <c r="B596" s="20"/>
      <c r="C596" s="20"/>
      <c r="D596" s="20"/>
      <c r="E596" s="20"/>
      <c r="F596" s="20"/>
      <c r="G596" s="65"/>
    </row>
    <row r="597" ht="15.75" customHeight="1">
      <c r="A597" s="110"/>
      <c r="B597" s="20"/>
      <c r="C597" s="20"/>
      <c r="D597" s="20"/>
      <c r="E597" s="20"/>
      <c r="F597" s="20"/>
      <c r="G597" s="65"/>
    </row>
    <row r="598" ht="15.75" customHeight="1">
      <c r="A598" s="110"/>
      <c r="B598" s="20"/>
      <c r="C598" s="20"/>
      <c r="D598" s="20"/>
      <c r="E598" s="20"/>
      <c r="F598" s="20"/>
      <c r="G598" s="65"/>
    </row>
    <row r="599" ht="15.75" customHeight="1">
      <c r="A599" s="110"/>
      <c r="B599" s="20"/>
      <c r="C599" s="20"/>
      <c r="D599" s="20"/>
      <c r="E599" s="20"/>
      <c r="F599" s="20"/>
      <c r="G599" s="65"/>
    </row>
    <row r="600" ht="15.75" customHeight="1">
      <c r="A600" s="110"/>
      <c r="B600" s="20"/>
      <c r="C600" s="20"/>
      <c r="D600" s="20"/>
      <c r="E600" s="20"/>
      <c r="F600" s="20"/>
      <c r="G600" s="65"/>
    </row>
    <row r="601" ht="15.75" customHeight="1">
      <c r="A601" s="110"/>
      <c r="B601" s="20"/>
      <c r="C601" s="20"/>
      <c r="D601" s="20"/>
      <c r="E601" s="20"/>
      <c r="F601" s="20"/>
      <c r="G601" s="65"/>
    </row>
    <row r="602" ht="15.75" customHeight="1">
      <c r="A602" s="110"/>
      <c r="B602" s="20"/>
      <c r="C602" s="20"/>
      <c r="D602" s="20"/>
      <c r="E602" s="20"/>
      <c r="F602" s="20"/>
      <c r="G602" s="65"/>
    </row>
    <row r="603" ht="15.75" customHeight="1">
      <c r="A603" s="110"/>
      <c r="B603" s="20"/>
      <c r="C603" s="20"/>
      <c r="D603" s="20"/>
      <c r="E603" s="20"/>
      <c r="F603" s="20"/>
      <c r="G603" s="65"/>
    </row>
    <row r="604" ht="15.75" customHeight="1">
      <c r="A604" s="110"/>
      <c r="B604" s="20"/>
      <c r="C604" s="20"/>
      <c r="D604" s="20"/>
      <c r="E604" s="20"/>
      <c r="F604" s="20"/>
      <c r="G604" s="65"/>
    </row>
    <row r="605" ht="15.75" customHeight="1">
      <c r="A605" s="110"/>
      <c r="B605" s="20"/>
      <c r="C605" s="20"/>
      <c r="D605" s="20"/>
      <c r="E605" s="20"/>
      <c r="F605" s="20"/>
      <c r="G605" s="65"/>
    </row>
    <row r="606" ht="15.75" customHeight="1">
      <c r="A606" s="110"/>
      <c r="B606" s="20"/>
      <c r="C606" s="20"/>
      <c r="D606" s="20"/>
      <c r="E606" s="20"/>
      <c r="F606" s="20"/>
      <c r="G606" s="65"/>
    </row>
    <row r="607" ht="15.75" customHeight="1">
      <c r="A607" s="110"/>
      <c r="B607" s="20"/>
      <c r="C607" s="20"/>
      <c r="D607" s="20"/>
      <c r="E607" s="20"/>
      <c r="F607" s="20"/>
      <c r="G607" s="65"/>
    </row>
    <row r="608" ht="15.75" customHeight="1">
      <c r="A608" s="110"/>
      <c r="B608" s="20"/>
      <c r="C608" s="20"/>
      <c r="D608" s="20"/>
      <c r="E608" s="20"/>
      <c r="F608" s="20"/>
      <c r="G608" s="65"/>
    </row>
    <row r="609" ht="15.75" customHeight="1">
      <c r="A609" s="110"/>
      <c r="B609" s="20"/>
      <c r="C609" s="20"/>
      <c r="D609" s="20"/>
      <c r="E609" s="20"/>
      <c r="F609" s="20"/>
      <c r="G609" s="65"/>
    </row>
    <row r="610" ht="15.75" customHeight="1">
      <c r="A610" s="110"/>
      <c r="B610" s="20"/>
      <c r="C610" s="20"/>
      <c r="D610" s="20"/>
      <c r="E610" s="20"/>
      <c r="F610" s="20"/>
      <c r="G610" s="65"/>
    </row>
    <row r="611" ht="15.75" customHeight="1">
      <c r="A611" s="110"/>
      <c r="B611" s="20"/>
      <c r="C611" s="20"/>
      <c r="D611" s="20"/>
      <c r="E611" s="20"/>
      <c r="F611" s="20"/>
      <c r="G611" s="65"/>
    </row>
    <row r="612" ht="15.75" customHeight="1">
      <c r="A612" s="110"/>
      <c r="B612" s="20"/>
      <c r="C612" s="20"/>
      <c r="D612" s="20"/>
      <c r="E612" s="20"/>
      <c r="F612" s="20"/>
      <c r="G612" s="65"/>
    </row>
    <row r="613" ht="15.75" customHeight="1">
      <c r="A613" s="110"/>
      <c r="B613" s="20"/>
      <c r="C613" s="20"/>
      <c r="D613" s="20"/>
      <c r="E613" s="20"/>
      <c r="F613" s="20"/>
      <c r="G613" s="65"/>
    </row>
    <row r="614" ht="15.75" customHeight="1">
      <c r="A614" s="110"/>
      <c r="B614" s="20"/>
      <c r="C614" s="20"/>
      <c r="D614" s="20"/>
      <c r="E614" s="20"/>
      <c r="F614" s="20"/>
      <c r="G614" s="65"/>
    </row>
    <row r="615" ht="15.75" customHeight="1">
      <c r="A615" s="110"/>
      <c r="B615" s="20"/>
      <c r="C615" s="20"/>
      <c r="D615" s="20"/>
      <c r="E615" s="20"/>
      <c r="F615" s="20"/>
      <c r="G615" s="65"/>
    </row>
    <row r="616" ht="15.75" customHeight="1">
      <c r="A616" s="110"/>
      <c r="B616" s="20"/>
      <c r="C616" s="20"/>
      <c r="D616" s="20"/>
      <c r="E616" s="20"/>
      <c r="F616" s="20"/>
      <c r="G616" s="65"/>
    </row>
    <row r="617" ht="15.75" customHeight="1">
      <c r="A617" s="110"/>
      <c r="B617" s="20"/>
      <c r="C617" s="20"/>
      <c r="D617" s="20"/>
      <c r="E617" s="20"/>
      <c r="F617" s="20"/>
      <c r="G617" s="65"/>
    </row>
    <row r="618" ht="15.75" customHeight="1">
      <c r="A618" s="110"/>
      <c r="B618" s="20"/>
      <c r="C618" s="20"/>
      <c r="D618" s="20"/>
      <c r="E618" s="20"/>
      <c r="F618" s="20"/>
      <c r="G618" s="65"/>
    </row>
    <row r="619" ht="15.75" customHeight="1">
      <c r="A619" s="110"/>
      <c r="B619" s="20"/>
      <c r="C619" s="20"/>
      <c r="D619" s="20"/>
      <c r="E619" s="20"/>
      <c r="F619" s="20"/>
      <c r="G619" s="65"/>
    </row>
    <row r="620" ht="15.75" customHeight="1">
      <c r="A620" s="110"/>
      <c r="B620" s="20"/>
      <c r="C620" s="20"/>
      <c r="D620" s="20"/>
      <c r="E620" s="20"/>
      <c r="F620" s="20"/>
      <c r="G620" s="65"/>
    </row>
    <row r="621" ht="15.75" customHeight="1">
      <c r="A621" s="110"/>
      <c r="B621" s="20"/>
      <c r="C621" s="20"/>
      <c r="D621" s="20"/>
      <c r="E621" s="20"/>
      <c r="F621" s="20"/>
      <c r="G621" s="65"/>
    </row>
    <row r="622" ht="15.75" customHeight="1">
      <c r="A622" s="110"/>
      <c r="B622" s="20"/>
      <c r="C622" s="20"/>
      <c r="D622" s="20"/>
      <c r="E622" s="20"/>
      <c r="F622" s="20"/>
      <c r="G622" s="65"/>
    </row>
    <row r="623" ht="15.75" customHeight="1">
      <c r="A623" s="110"/>
      <c r="B623" s="20"/>
      <c r="C623" s="20"/>
      <c r="D623" s="20"/>
      <c r="E623" s="20"/>
      <c r="F623" s="20"/>
      <c r="G623" s="65"/>
    </row>
    <row r="624" ht="15.75" customHeight="1">
      <c r="A624" s="110"/>
      <c r="B624" s="20"/>
      <c r="C624" s="20"/>
      <c r="D624" s="20"/>
      <c r="E624" s="20"/>
      <c r="F624" s="20"/>
      <c r="G624" s="65"/>
    </row>
    <row r="625" ht="15.75" customHeight="1">
      <c r="A625" s="110"/>
      <c r="B625" s="20"/>
      <c r="C625" s="20"/>
      <c r="D625" s="20"/>
      <c r="E625" s="20"/>
      <c r="F625" s="20"/>
      <c r="G625" s="65"/>
    </row>
    <row r="626" ht="15.75" customHeight="1">
      <c r="A626" s="110"/>
      <c r="B626" s="20"/>
      <c r="C626" s="20"/>
      <c r="D626" s="20"/>
      <c r="E626" s="20"/>
      <c r="F626" s="20"/>
      <c r="G626" s="65"/>
    </row>
    <row r="627" ht="15.75" customHeight="1">
      <c r="A627" s="110"/>
      <c r="B627" s="20"/>
      <c r="C627" s="20"/>
      <c r="D627" s="20"/>
      <c r="E627" s="20"/>
      <c r="F627" s="20"/>
      <c r="G627" s="65"/>
    </row>
    <row r="628" ht="15.75" customHeight="1">
      <c r="A628" s="110"/>
      <c r="B628" s="20"/>
      <c r="C628" s="20"/>
      <c r="D628" s="20"/>
      <c r="E628" s="20"/>
      <c r="F628" s="20"/>
      <c r="G628" s="65"/>
    </row>
    <row r="629" ht="15.75" customHeight="1">
      <c r="A629" s="110"/>
      <c r="B629" s="20"/>
      <c r="C629" s="20"/>
      <c r="D629" s="20"/>
      <c r="E629" s="20"/>
      <c r="F629" s="20"/>
      <c r="G629" s="65"/>
    </row>
    <row r="630" ht="15.75" customHeight="1">
      <c r="A630" s="110"/>
      <c r="B630" s="20"/>
      <c r="C630" s="20"/>
      <c r="D630" s="20"/>
      <c r="E630" s="20"/>
      <c r="F630" s="20"/>
      <c r="G630" s="65"/>
    </row>
    <row r="631" ht="15.75" customHeight="1">
      <c r="A631" s="110"/>
      <c r="B631" s="20"/>
      <c r="C631" s="20"/>
      <c r="D631" s="20"/>
      <c r="E631" s="20"/>
      <c r="F631" s="20"/>
      <c r="G631" s="65"/>
    </row>
    <row r="632" ht="15.75" customHeight="1">
      <c r="A632" s="110"/>
      <c r="B632" s="20"/>
      <c r="C632" s="20"/>
      <c r="D632" s="20"/>
      <c r="E632" s="20"/>
      <c r="F632" s="20"/>
      <c r="G632" s="65"/>
    </row>
    <row r="633" ht="15.75" customHeight="1">
      <c r="A633" s="110"/>
      <c r="B633" s="20"/>
      <c r="C633" s="20"/>
      <c r="D633" s="20"/>
      <c r="E633" s="20"/>
      <c r="F633" s="20"/>
      <c r="G633" s="65"/>
    </row>
    <row r="634" ht="15.75" customHeight="1">
      <c r="A634" s="110"/>
      <c r="B634" s="20"/>
      <c r="C634" s="20"/>
      <c r="D634" s="20"/>
      <c r="E634" s="20"/>
      <c r="F634" s="20"/>
      <c r="G634" s="65"/>
    </row>
    <row r="635" ht="15.75" customHeight="1">
      <c r="A635" s="110"/>
      <c r="B635" s="20"/>
      <c r="C635" s="20"/>
      <c r="D635" s="20"/>
      <c r="E635" s="20"/>
      <c r="F635" s="20"/>
      <c r="G635" s="65"/>
    </row>
    <row r="636" ht="15.75" customHeight="1">
      <c r="A636" s="110"/>
      <c r="B636" s="20"/>
      <c r="C636" s="20"/>
      <c r="D636" s="20"/>
      <c r="E636" s="20"/>
      <c r="F636" s="20"/>
      <c r="G636" s="65"/>
    </row>
    <row r="637" ht="15.75" customHeight="1">
      <c r="A637" s="110"/>
      <c r="B637" s="20"/>
      <c r="C637" s="20"/>
      <c r="D637" s="20"/>
      <c r="E637" s="20"/>
      <c r="F637" s="20"/>
      <c r="G637" s="65"/>
    </row>
    <row r="638" ht="15.75" customHeight="1">
      <c r="A638" s="110"/>
      <c r="B638" s="20"/>
      <c r="C638" s="20"/>
      <c r="D638" s="20"/>
      <c r="E638" s="20"/>
      <c r="F638" s="20"/>
      <c r="G638" s="65"/>
    </row>
    <row r="639" ht="15.75" customHeight="1">
      <c r="A639" s="110"/>
      <c r="B639" s="20"/>
      <c r="C639" s="20"/>
      <c r="D639" s="20"/>
      <c r="E639" s="20"/>
      <c r="F639" s="20"/>
      <c r="G639" s="65"/>
    </row>
    <row r="640" ht="15.75" customHeight="1">
      <c r="A640" s="110"/>
      <c r="B640" s="20"/>
      <c r="C640" s="20"/>
      <c r="D640" s="20"/>
      <c r="E640" s="20"/>
      <c r="F640" s="20"/>
      <c r="G640" s="65"/>
    </row>
    <row r="641" ht="15.75" customHeight="1">
      <c r="A641" s="110"/>
      <c r="B641" s="20"/>
      <c r="C641" s="20"/>
      <c r="D641" s="20"/>
      <c r="E641" s="20"/>
      <c r="F641" s="20"/>
      <c r="G641" s="65"/>
    </row>
    <row r="642" ht="15.75" customHeight="1">
      <c r="A642" s="110"/>
      <c r="B642" s="20"/>
      <c r="C642" s="20"/>
      <c r="D642" s="20"/>
      <c r="E642" s="20"/>
      <c r="F642" s="20"/>
      <c r="G642" s="65"/>
    </row>
    <row r="643" ht="15.75" customHeight="1">
      <c r="A643" s="110"/>
      <c r="B643" s="20"/>
      <c r="C643" s="20"/>
      <c r="D643" s="20"/>
      <c r="E643" s="20"/>
      <c r="F643" s="20"/>
      <c r="G643" s="65"/>
    </row>
    <row r="644" ht="15.75" customHeight="1">
      <c r="A644" s="110"/>
      <c r="B644" s="20"/>
      <c r="C644" s="20"/>
      <c r="D644" s="20"/>
      <c r="E644" s="20"/>
      <c r="F644" s="20"/>
      <c r="G644" s="65"/>
    </row>
    <row r="645" ht="15.75" customHeight="1">
      <c r="A645" s="110"/>
      <c r="B645" s="20"/>
      <c r="C645" s="20"/>
      <c r="D645" s="20"/>
      <c r="E645" s="20"/>
      <c r="F645" s="20"/>
      <c r="G645" s="65"/>
    </row>
    <row r="646" ht="15.75" customHeight="1">
      <c r="A646" s="110"/>
      <c r="B646" s="20"/>
      <c r="C646" s="20"/>
      <c r="D646" s="20"/>
      <c r="E646" s="20"/>
      <c r="F646" s="20"/>
      <c r="G646" s="65"/>
    </row>
    <row r="647" ht="15.75" customHeight="1">
      <c r="A647" s="110"/>
      <c r="B647" s="20"/>
      <c r="C647" s="20"/>
      <c r="D647" s="20"/>
      <c r="E647" s="20"/>
      <c r="F647" s="20"/>
      <c r="G647" s="65"/>
    </row>
    <row r="648" ht="15.75" customHeight="1">
      <c r="A648" s="110"/>
      <c r="B648" s="20"/>
      <c r="C648" s="20"/>
      <c r="D648" s="20"/>
      <c r="E648" s="20"/>
      <c r="F648" s="20"/>
      <c r="G648" s="65"/>
    </row>
    <row r="649" ht="15.75" customHeight="1">
      <c r="A649" s="110"/>
      <c r="B649" s="20"/>
      <c r="C649" s="20"/>
      <c r="D649" s="20"/>
      <c r="E649" s="20"/>
      <c r="F649" s="20"/>
      <c r="G649" s="65"/>
    </row>
    <row r="650" ht="15.75" customHeight="1">
      <c r="A650" s="110"/>
      <c r="B650" s="20"/>
      <c r="C650" s="20"/>
      <c r="D650" s="20"/>
      <c r="E650" s="20"/>
      <c r="F650" s="20"/>
      <c r="G650" s="65"/>
    </row>
    <row r="651" ht="15.75" customHeight="1">
      <c r="A651" s="110"/>
      <c r="B651" s="20"/>
      <c r="C651" s="20"/>
      <c r="D651" s="20"/>
      <c r="E651" s="20"/>
      <c r="F651" s="20"/>
      <c r="G651" s="65"/>
    </row>
    <row r="652" ht="15.75" customHeight="1">
      <c r="A652" s="110"/>
      <c r="B652" s="20"/>
      <c r="C652" s="20"/>
      <c r="D652" s="20"/>
      <c r="E652" s="20"/>
      <c r="F652" s="20"/>
      <c r="G652" s="65"/>
    </row>
    <row r="653" ht="15.75" customHeight="1">
      <c r="A653" s="110"/>
      <c r="B653" s="20"/>
      <c r="C653" s="20"/>
      <c r="D653" s="20"/>
      <c r="E653" s="20"/>
      <c r="F653" s="20"/>
      <c r="G653" s="65"/>
    </row>
    <row r="654" ht="15.75" customHeight="1">
      <c r="A654" s="110"/>
      <c r="B654" s="20"/>
      <c r="C654" s="20"/>
      <c r="D654" s="20"/>
      <c r="E654" s="20"/>
      <c r="F654" s="20"/>
      <c r="G654" s="65"/>
    </row>
    <row r="655" ht="15.75" customHeight="1">
      <c r="A655" s="110"/>
      <c r="B655" s="20"/>
      <c r="C655" s="20"/>
      <c r="D655" s="20"/>
      <c r="E655" s="20"/>
      <c r="F655" s="20"/>
      <c r="G655" s="65"/>
    </row>
    <row r="656" ht="15.75" customHeight="1">
      <c r="A656" s="110"/>
      <c r="B656" s="20"/>
      <c r="C656" s="20"/>
      <c r="D656" s="20"/>
      <c r="E656" s="20"/>
      <c r="F656" s="20"/>
      <c r="G656" s="65"/>
    </row>
    <row r="657" ht="15.75" customHeight="1">
      <c r="A657" s="110"/>
      <c r="B657" s="20"/>
      <c r="C657" s="20"/>
      <c r="D657" s="20"/>
      <c r="E657" s="20"/>
      <c r="F657" s="20"/>
      <c r="G657" s="65"/>
    </row>
    <row r="658" ht="15.75" customHeight="1">
      <c r="A658" s="110"/>
      <c r="B658" s="20"/>
      <c r="C658" s="20"/>
      <c r="D658" s="20"/>
      <c r="E658" s="20"/>
      <c r="F658" s="20"/>
      <c r="G658" s="65"/>
    </row>
    <row r="659" ht="15.75" customHeight="1">
      <c r="A659" s="110"/>
      <c r="B659" s="20"/>
      <c r="C659" s="20"/>
      <c r="D659" s="20"/>
      <c r="E659" s="20"/>
      <c r="F659" s="20"/>
      <c r="G659" s="65"/>
    </row>
    <row r="660" ht="15.75" customHeight="1">
      <c r="A660" s="110"/>
      <c r="B660" s="20"/>
      <c r="C660" s="20"/>
      <c r="D660" s="20"/>
      <c r="E660" s="20"/>
      <c r="F660" s="20"/>
      <c r="G660" s="65"/>
    </row>
    <row r="661" ht="15.75" customHeight="1">
      <c r="A661" s="110"/>
      <c r="B661" s="20"/>
      <c r="C661" s="20"/>
      <c r="D661" s="20"/>
      <c r="E661" s="20"/>
      <c r="F661" s="20"/>
      <c r="G661" s="65"/>
    </row>
    <row r="662" ht="15.75" customHeight="1">
      <c r="A662" s="110"/>
      <c r="B662" s="20"/>
      <c r="C662" s="20"/>
      <c r="D662" s="20"/>
      <c r="E662" s="20"/>
      <c r="F662" s="20"/>
      <c r="G662" s="65"/>
    </row>
    <row r="663" ht="15.75" customHeight="1">
      <c r="A663" s="110"/>
      <c r="B663" s="20"/>
      <c r="C663" s="20"/>
      <c r="D663" s="20"/>
      <c r="E663" s="20"/>
      <c r="F663" s="20"/>
      <c r="G663" s="65"/>
    </row>
    <row r="664" ht="15.75" customHeight="1">
      <c r="A664" s="110"/>
      <c r="B664" s="20"/>
      <c r="C664" s="20"/>
      <c r="D664" s="20"/>
      <c r="E664" s="20"/>
      <c r="F664" s="20"/>
      <c r="G664" s="65"/>
    </row>
    <row r="665" ht="15.75" customHeight="1">
      <c r="A665" s="110"/>
      <c r="B665" s="20"/>
      <c r="C665" s="20"/>
      <c r="D665" s="20"/>
      <c r="E665" s="20"/>
      <c r="F665" s="20"/>
      <c r="G665" s="65"/>
    </row>
    <row r="666" ht="15.75" customHeight="1">
      <c r="A666" s="110"/>
      <c r="B666" s="20"/>
      <c r="C666" s="20"/>
      <c r="D666" s="20"/>
      <c r="E666" s="20"/>
      <c r="F666" s="20"/>
      <c r="G666" s="65"/>
    </row>
    <row r="667" ht="15.75" customHeight="1">
      <c r="A667" s="110"/>
      <c r="B667" s="20"/>
      <c r="C667" s="20"/>
      <c r="D667" s="20"/>
      <c r="E667" s="20"/>
      <c r="F667" s="20"/>
      <c r="G667" s="65"/>
    </row>
    <row r="668" ht="15.75" customHeight="1">
      <c r="A668" s="110"/>
      <c r="B668" s="20"/>
      <c r="C668" s="20"/>
      <c r="D668" s="20"/>
      <c r="E668" s="20"/>
      <c r="F668" s="20"/>
      <c r="G668" s="65"/>
    </row>
    <row r="669" ht="15.75" customHeight="1">
      <c r="A669" s="110"/>
      <c r="B669" s="20"/>
      <c r="C669" s="20"/>
      <c r="D669" s="20"/>
      <c r="E669" s="20"/>
      <c r="F669" s="20"/>
      <c r="G669" s="65"/>
    </row>
    <row r="670" ht="15.75" customHeight="1">
      <c r="A670" s="110"/>
      <c r="B670" s="20"/>
      <c r="C670" s="20"/>
      <c r="D670" s="20"/>
      <c r="E670" s="20"/>
      <c r="F670" s="20"/>
      <c r="G670" s="65"/>
    </row>
    <row r="671" ht="15.75" customHeight="1">
      <c r="A671" s="110"/>
      <c r="B671" s="20"/>
      <c r="C671" s="20"/>
      <c r="D671" s="20"/>
      <c r="E671" s="20"/>
      <c r="F671" s="20"/>
      <c r="G671" s="65"/>
    </row>
    <row r="672" ht="15.75" customHeight="1">
      <c r="A672" s="110"/>
      <c r="B672" s="20"/>
      <c r="C672" s="20"/>
      <c r="D672" s="20"/>
      <c r="E672" s="20"/>
      <c r="F672" s="20"/>
      <c r="G672" s="65"/>
    </row>
    <row r="673" ht="15.75" customHeight="1">
      <c r="A673" s="110"/>
      <c r="B673" s="20"/>
      <c r="C673" s="20"/>
      <c r="D673" s="20"/>
      <c r="E673" s="20"/>
      <c r="F673" s="20"/>
      <c r="G673" s="65"/>
    </row>
    <row r="674" ht="15.75" customHeight="1">
      <c r="A674" s="110"/>
      <c r="B674" s="20"/>
      <c r="C674" s="20"/>
      <c r="D674" s="20"/>
      <c r="E674" s="20"/>
      <c r="F674" s="20"/>
      <c r="G674" s="65"/>
    </row>
    <row r="675" ht="15.75" customHeight="1">
      <c r="A675" s="110"/>
      <c r="B675" s="20"/>
      <c r="C675" s="20"/>
      <c r="D675" s="20"/>
      <c r="E675" s="20"/>
      <c r="F675" s="20"/>
      <c r="G675" s="65"/>
    </row>
    <row r="676" ht="15.75" customHeight="1">
      <c r="A676" s="110"/>
      <c r="B676" s="20"/>
      <c r="C676" s="20"/>
      <c r="D676" s="20"/>
      <c r="E676" s="20"/>
      <c r="F676" s="20"/>
      <c r="G676" s="65"/>
    </row>
    <row r="677" ht="15.75" customHeight="1">
      <c r="A677" s="110"/>
      <c r="B677" s="20"/>
      <c r="C677" s="20"/>
      <c r="D677" s="20"/>
      <c r="E677" s="20"/>
      <c r="F677" s="20"/>
      <c r="G677" s="65"/>
    </row>
    <row r="678" ht="15.75" customHeight="1">
      <c r="A678" s="110"/>
      <c r="B678" s="20"/>
      <c r="C678" s="20"/>
      <c r="D678" s="20"/>
      <c r="E678" s="20"/>
      <c r="F678" s="20"/>
      <c r="G678" s="65"/>
    </row>
    <row r="679" ht="15.75" customHeight="1">
      <c r="A679" s="110"/>
      <c r="B679" s="20"/>
      <c r="C679" s="20"/>
      <c r="D679" s="20"/>
      <c r="E679" s="20"/>
      <c r="F679" s="20"/>
      <c r="G679" s="65"/>
    </row>
    <row r="680" ht="15.75" customHeight="1">
      <c r="A680" s="110"/>
      <c r="B680" s="20"/>
      <c r="C680" s="20"/>
      <c r="D680" s="20"/>
      <c r="E680" s="20"/>
      <c r="F680" s="20"/>
      <c r="G680" s="65"/>
    </row>
    <row r="681" ht="15.75" customHeight="1">
      <c r="A681" s="110"/>
      <c r="B681" s="20"/>
      <c r="C681" s="20"/>
      <c r="D681" s="20"/>
      <c r="E681" s="20"/>
      <c r="F681" s="20"/>
      <c r="G681" s="65"/>
    </row>
    <row r="682" ht="15.75" customHeight="1">
      <c r="A682" s="110"/>
      <c r="B682" s="20"/>
      <c r="C682" s="20"/>
      <c r="D682" s="20"/>
      <c r="E682" s="20"/>
      <c r="F682" s="20"/>
      <c r="G682" s="65"/>
    </row>
    <row r="683" ht="15.75" customHeight="1">
      <c r="A683" s="110"/>
      <c r="B683" s="20"/>
      <c r="C683" s="20"/>
      <c r="D683" s="20"/>
      <c r="E683" s="20"/>
      <c r="F683" s="20"/>
      <c r="G683" s="65"/>
    </row>
    <row r="684" ht="15.75" customHeight="1">
      <c r="A684" s="110"/>
      <c r="B684" s="20"/>
      <c r="C684" s="20"/>
      <c r="D684" s="20"/>
      <c r="E684" s="20"/>
      <c r="F684" s="20"/>
      <c r="G684" s="65"/>
    </row>
    <row r="685" ht="15.75" customHeight="1">
      <c r="A685" s="110"/>
      <c r="B685" s="20"/>
      <c r="C685" s="20"/>
      <c r="D685" s="20"/>
      <c r="E685" s="20"/>
      <c r="F685" s="20"/>
      <c r="G685" s="65"/>
    </row>
    <row r="686" ht="15.75" customHeight="1">
      <c r="A686" s="110"/>
      <c r="B686" s="20"/>
      <c r="C686" s="20"/>
      <c r="D686" s="20"/>
      <c r="E686" s="20"/>
      <c r="F686" s="20"/>
      <c r="G686" s="65"/>
    </row>
    <row r="687" ht="15.75" customHeight="1">
      <c r="A687" s="110"/>
      <c r="B687" s="20"/>
      <c r="C687" s="20"/>
      <c r="D687" s="20"/>
      <c r="E687" s="20"/>
      <c r="F687" s="20"/>
      <c r="G687" s="65"/>
    </row>
    <row r="688" ht="15.75" customHeight="1">
      <c r="A688" s="110"/>
      <c r="B688" s="20"/>
      <c r="C688" s="20"/>
      <c r="D688" s="20"/>
      <c r="E688" s="20"/>
      <c r="F688" s="20"/>
      <c r="G688" s="65"/>
    </row>
    <row r="689" ht="15.75" customHeight="1">
      <c r="A689" s="110"/>
      <c r="B689" s="20"/>
      <c r="C689" s="20"/>
      <c r="D689" s="20"/>
      <c r="E689" s="20"/>
      <c r="F689" s="20"/>
      <c r="G689" s="65"/>
    </row>
    <row r="690" ht="15.75" customHeight="1">
      <c r="A690" s="110"/>
      <c r="B690" s="20"/>
      <c r="C690" s="20"/>
      <c r="D690" s="20"/>
      <c r="E690" s="20"/>
      <c r="F690" s="20"/>
      <c r="G690" s="65"/>
    </row>
    <row r="691" ht="15.75" customHeight="1">
      <c r="A691" s="110"/>
      <c r="B691" s="20"/>
      <c r="C691" s="20"/>
      <c r="D691" s="20"/>
      <c r="E691" s="20"/>
      <c r="F691" s="20"/>
      <c r="G691" s="65"/>
    </row>
    <row r="692" ht="15.75" customHeight="1">
      <c r="A692" s="110"/>
      <c r="B692" s="20"/>
      <c r="C692" s="20"/>
      <c r="D692" s="20"/>
      <c r="E692" s="20"/>
      <c r="F692" s="20"/>
      <c r="G692" s="65"/>
    </row>
    <row r="693" ht="15.75" customHeight="1">
      <c r="A693" s="110"/>
      <c r="B693" s="20"/>
      <c r="C693" s="20"/>
      <c r="D693" s="20"/>
      <c r="E693" s="20"/>
      <c r="F693" s="20"/>
      <c r="G693" s="65"/>
    </row>
    <row r="694" ht="15.75" customHeight="1">
      <c r="A694" s="110"/>
      <c r="B694" s="20"/>
      <c r="C694" s="20"/>
      <c r="D694" s="20"/>
      <c r="E694" s="20"/>
      <c r="F694" s="20"/>
      <c r="G694" s="65"/>
    </row>
    <row r="695" ht="15.75" customHeight="1">
      <c r="A695" s="110"/>
      <c r="B695" s="20"/>
      <c r="C695" s="20"/>
      <c r="D695" s="20"/>
      <c r="E695" s="20"/>
      <c r="F695" s="20"/>
      <c r="G695" s="65"/>
    </row>
    <row r="696" ht="15.75" customHeight="1">
      <c r="A696" s="110"/>
      <c r="B696" s="20"/>
      <c r="C696" s="20"/>
      <c r="D696" s="20"/>
      <c r="E696" s="20"/>
      <c r="F696" s="20"/>
      <c r="G696" s="65"/>
    </row>
    <row r="697" ht="15.75" customHeight="1">
      <c r="A697" s="110"/>
      <c r="B697" s="20"/>
      <c r="C697" s="20"/>
      <c r="D697" s="20"/>
      <c r="E697" s="20"/>
      <c r="F697" s="20"/>
      <c r="G697" s="65"/>
    </row>
    <row r="698" ht="15.75" customHeight="1">
      <c r="A698" s="110"/>
      <c r="B698" s="20"/>
      <c r="C698" s="20"/>
      <c r="D698" s="20"/>
      <c r="E698" s="20"/>
      <c r="F698" s="20"/>
      <c r="G698" s="65"/>
    </row>
    <row r="699" ht="15.75" customHeight="1">
      <c r="A699" s="110"/>
      <c r="B699" s="20"/>
      <c r="C699" s="20"/>
      <c r="D699" s="20"/>
      <c r="E699" s="20"/>
      <c r="F699" s="20"/>
      <c r="G699" s="65"/>
    </row>
    <row r="700" ht="15.75" customHeight="1">
      <c r="A700" s="110"/>
      <c r="B700" s="20"/>
      <c r="C700" s="20"/>
      <c r="D700" s="20"/>
      <c r="E700" s="20"/>
      <c r="F700" s="20"/>
      <c r="G700" s="65"/>
    </row>
    <row r="701" ht="15.75" customHeight="1">
      <c r="A701" s="110"/>
      <c r="B701" s="20"/>
      <c r="C701" s="20"/>
      <c r="D701" s="20"/>
      <c r="E701" s="20"/>
      <c r="F701" s="20"/>
      <c r="G701" s="65"/>
    </row>
    <row r="702" ht="15.75" customHeight="1">
      <c r="A702" s="110"/>
      <c r="B702" s="20"/>
      <c r="C702" s="20"/>
      <c r="D702" s="20"/>
      <c r="E702" s="20"/>
      <c r="F702" s="20"/>
      <c r="G702" s="65"/>
    </row>
    <row r="703" ht="15.75" customHeight="1">
      <c r="A703" s="110"/>
      <c r="B703" s="20"/>
      <c r="C703" s="20"/>
      <c r="D703" s="20"/>
      <c r="E703" s="20"/>
      <c r="F703" s="20"/>
      <c r="G703" s="65"/>
    </row>
    <row r="704" ht="15.75" customHeight="1">
      <c r="A704" s="110"/>
      <c r="B704" s="20"/>
      <c r="C704" s="20"/>
      <c r="D704" s="20"/>
      <c r="E704" s="20"/>
      <c r="F704" s="20"/>
      <c r="G704" s="65"/>
    </row>
    <row r="705" ht="15.75" customHeight="1">
      <c r="A705" s="110"/>
      <c r="B705" s="20"/>
      <c r="C705" s="20"/>
      <c r="D705" s="20"/>
      <c r="E705" s="20"/>
      <c r="F705" s="20"/>
      <c r="G705" s="65"/>
    </row>
    <row r="706" ht="15.75" customHeight="1">
      <c r="A706" s="110"/>
      <c r="B706" s="20"/>
      <c r="C706" s="20"/>
      <c r="D706" s="20"/>
      <c r="E706" s="20"/>
      <c r="F706" s="20"/>
      <c r="G706" s="65"/>
    </row>
    <row r="707" ht="15.75" customHeight="1">
      <c r="A707" s="110"/>
      <c r="B707" s="20"/>
      <c r="C707" s="20"/>
      <c r="D707" s="20"/>
      <c r="E707" s="20"/>
      <c r="F707" s="20"/>
      <c r="G707" s="65"/>
    </row>
    <row r="708" ht="15.75" customHeight="1">
      <c r="A708" s="110"/>
      <c r="B708" s="20"/>
      <c r="C708" s="20"/>
      <c r="D708" s="20"/>
      <c r="E708" s="20"/>
      <c r="F708" s="20"/>
      <c r="G708" s="65"/>
    </row>
    <row r="709" ht="15.75" customHeight="1">
      <c r="A709" s="110"/>
      <c r="B709" s="20"/>
      <c r="C709" s="20"/>
      <c r="D709" s="20"/>
      <c r="E709" s="20"/>
      <c r="F709" s="20"/>
      <c r="G709" s="65"/>
    </row>
    <row r="710" ht="15.75" customHeight="1">
      <c r="A710" s="110"/>
      <c r="B710" s="20"/>
      <c r="C710" s="20"/>
      <c r="D710" s="20"/>
      <c r="E710" s="20"/>
      <c r="F710" s="20"/>
      <c r="G710" s="65"/>
    </row>
    <row r="711" ht="15.75" customHeight="1">
      <c r="A711" s="110"/>
      <c r="B711" s="20"/>
      <c r="C711" s="20"/>
      <c r="D711" s="20"/>
      <c r="E711" s="20"/>
      <c r="F711" s="20"/>
      <c r="G711" s="65"/>
    </row>
    <row r="712" ht="15.75" customHeight="1">
      <c r="A712" s="110"/>
      <c r="B712" s="20"/>
      <c r="C712" s="20"/>
      <c r="D712" s="20"/>
      <c r="E712" s="20"/>
      <c r="F712" s="20"/>
      <c r="G712" s="65"/>
    </row>
    <row r="713" ht="15.75" customHeight="1">
      <c r="A713" s="110"/>
      <c r="B713" s="20"/>
      <c r="C713" s="20"/>
      <c r="D713" s="20"/>
      <c r="E713" s="20"/>
      <c r="F713" s="20"/>
      <c r="G713" s="65"/>
    </row>
    <row r="714" ht="15.75" customHeight="1">
      <c r="A714" s="110"/>
      <c r="B714" s="20"/>
      <c r="C714" s="20"/>
      <c r="D714" s="20"/>
      <c r="E714" s="20"/>
      <c r="F714" s="20"/>
      <c r="G714" s="65"/>
    </row>
    <row r="715" ht="15.75" customHeight="1">
      <c r="A715" s="110"/>
      <c r="B715" s="20"/>
      <c r="C715" s="20"/>
      <c r="D715" s="20"/>
      <c r="E715" s="20"/>
      <c r="F715" s="20"/>
      <c r="G715" s="65"/>
    </row>
    <row r="716" ht="15.75" customHeight="1">
      <c r="A716" s="110"/>
      <c r="B716" s="20"/>
      <c r="C716" s="20"/>
      <c r="D716" s="20"/>
      <c r="E716" s="20"/>
      <c r="F716" s="20"/>
      <c r="G716" s="65"/>
    </row>
    <row r="717" ht="15.75" customHeight="1">
      <c r="A717" s="110"/>
      <c r="B717" s="20"/>
      <c r="C717" s="20"/>
      <c r="D717" s="20"/>
      <c r="E717" s="20"/>
      <c r="F717" s="20"/>
      <c r="G717" s="65"/>
    </row>
    <row r="718" ht="15.75" customHeight="1">
      <c r="A718" s="110"/>
      <c r="B718" s="20"/>
      <c r="C718" s="20"/>
      <c r="D718" s="20"/>
      <c r="E718" s="20"/>
      <c r="F718" s="20"/>
      <c r="G718" s="65"/>
    </row>
    <row r="719" ht="15.75" customHeight="1">
      <c r="A719" s="110"/>
      <c r="B719" s="20"/>
      <c r="C719" s="20"/>
      <c r="D719" s="20"/>
      <c r="E719" s="20"/>
      <c r="F719" s="20"/>
      <c r="G719" s="65"/>
    </row>
    <row r="720" ht="15.75" customHeight="1">
      <c r="A720" s="110"/>
      <c r="B720" s="20"/>
      <c r="C720" s="20"/>
      <c r="D720" s="20"/>
      <c r="E720" s="20"/>
      <c r="F720" s="20"/>
      <c r="G720" s="65"/>
    </row>
    <row r="721" ht="15.75" customHeight="1">
      <c r="A721" s="110"/>
      <c r="B721" s="20"/>
      <c r="C721" s="20"/>
      <c r="D721" s="20"/>
      <c r="E721" s="20"/>
      <c r="F721" s="20"/>
      <c r="G721" s="65"/>
    </row>
    <row r="722" ht="15.75" customHeight="1">
      <c r="A722" s="110"/>
      <c r="B722" s="20"/>
      <c r="C722" s="20"/>
      <c r="D722" s="20"/>
      <c r="E722" s="20"/>
      <c r="F722" s="20"/>
      <c r="G722" s="65"/>
    </row>
    <row r="723" ht="15.75" customHeight="1">
      <c r="A723" s="110"/>
      <c r="B723" s="20"/>
      <c r="C723" s="20"/>
      <c r="D723" s="20"/>
      <c r="E723" s="20"/>
      <c r="F723" s="20"/>
      <c r="G723" s="65"/>
    </row>
    <row r="724" ht="15.75" customHeight="1">
      <c r="A724" s="110"/>
      <c r="B724" s="20"/>
      <c r="C724" s="20"/>
      <c r="D724" s="20"/>
      <c r="E724" s="20"/>
      <c r="F724" s="20"/>
      <c r="G724" s="65"/>
    </row>
    <row r="725" ht="15.75" customHeight="1">
      <c r="A725" s="110"/>
      <c r="B725" s="20"/>
      <c r="C725" s="20"/>
      <c r="D725" s="20"/>
      <c r="E725" s="20"/>
      <c r="F725" s="20"/>
      <c r="G725" s="65"/>
    </row>
    <row r="726" ht="15.75" customHeight="1">
      <c r="A726" s="110"/>
      <c r="B726" s="20"/>
      <c r="C726" s="20"/>
      <c r="D726" s="20"/>
      <c r="E726" s="20"/>
      <c r="F726" s="20"/>
      <c r="G726" s="65"/>
    </row>
    <row r="727" ht="15.75" customHeight="1">
      <c r="A727" s="110"/>
      <c r="B727" s="20"/>
      <c r="C727" s="20"/>
      <c r="D727" s="20"/>
      <c r="E727" s="20"/>
      <c r="F727" s="20"/>
      <c r="G727" s="65"/>
    </row>
    <row r="728" ht="15.75" customHeight="1">
      <c r="A728" s="110"/>
      <c r="B728" s="20"/>
      <c r="C728" s="20"/>
      <c r="D728" s="20"/>
      <c r="E728" s="20"/>
      <c r="F728" s="20"/>
      <c r="G728" s="65"/>
    </row>
    <row r="729" ht="15.75" customHeight="1">
      <c r="A729" s="110"/>
      <c r="B729" s="20"/>
      <c r="C729" s="20"/>
      <c r="D729" s="20"/>
      <c r="E729" s="20"/>
      <c r="F729" s="20"/>
      <c r="G729" s="65"/>
    </row>
    <row r="730" ht="15.75" customHeight="1">
      <c r="A730" s="110"/>
      <c r="B730" s="20"/>
      <c r="C730" s="20"/>
      <c r="D730" s="20"/>
      <c r="E730" s="20"/>
      <c r="F730" s="20"/>
      <c r="G730" s="65"/>
    </row>
    <row r="731" ht="15.75" customHeight="1">
      <c r="A731" s="110"/>
      <c r="B731" s="20"/>
      <c r="C731" s="20"/>
      <c r="D731" s="20"/>
      <c r="E731" s="20"/>
      <c r="F731" s="20"/>
      <c r="G731" s="65"/>
    </row>
    <row r="732" ht="15.75" customHeight="1">
      <c r="A732" s="110"/>
      <c r="B732" s="20"/>
      <c r="C732" s="20"/>
      <c r="D732" s="20"/>
      <c r="E732" s="20"/>
      <c r="F732" s="20"/>
      <c r="G732" s="65"/>
    </row>
    <row r="733" ht="15.75" customHeight="1">
      <c r="A733" s="110"/>
      <c r="B733" s="20"/>
      <c r="C733" s="20"/>
      <c r="D733" s="20"/>
      <c r="E733" s="20"/>
      <c r="F733" s="20"/>
      <c r="G733" s="65"/>
    </row>
    <row r="734" ht="15.75" customHeight="1">
      <c r="A734" s="110"/>
      <c r="B734" s="20"/>
      <c r="C734" s="20"/>
      <c r="D734" s="20"/>
      <c r="E734" s="20"/>
      <c r="F734" s="20"/>
      <c r="G734" s="65"/>
    </row>
    <row r="735" ht="15.75" customHeight="1">
      <c r="A735" s="110"/>
      <c r="B735" s="20"/>
      <c r="C735" s="20"/>
      <c r="D735" s="20"/>
      <c r="E735" s="20"/>
      <c r="F735" s="20"/>
      <c r="G735" s="65"/>
    </row>
    <row r="736" ht="15.75" customHeight="1">
      <c r="A736" s="110"/>
      <c r="B736" s="20"/>
      <c r="C736" s="20"/>
      <c r="D736" s="20"/>
      <c r="E736" s="20"/>
      <c r="F736" s="20"/>
      <c r="G736" s="65"/>
    </row>
    <row r="737" ht="15.75" customHeight="1">
      <c r="A737" s="110"/>
      <c r="B737" s="20"/>
      <c r="C737" s="20"/>
      <c r="D737" s="20"/>
      <c r="E737" s="20"/>
      <c r="F737" s="20"/>
      <c r="G737" s="65"/>
    </row>
    <row r="738" ht="15.75" customHeight="1">
      <c r="A738" s="110"/>
      <c r="B738" s="20"/>
      <c r="C738" s="20"/>
      <c r="D738" s="20"/>
      <c r="E738" s="20"/>
      <c r="F738" s="20"/>
      <c r="G738" s="65"/>
    </row>
    <row r="739" ht="15.75" customHeight="1">
      <c r="A739" s="110"/>
      <c r="B739" s="20"/>
      <c r="C739" s="20"/>
      <c r="D739" s="20"/>
      <c r="E739" s="20"/>
      <c r="F739" s="20"/>
      <c r="G739" s="65"/>
    </row>
    <row r="740" ht="15.75" customHeight="1">
      <c r="A740" s="110"/>
      <c r="B740" s="20"/>
      <c r="C740" s="20"/>
      <c r="D740" s="20"/>
      <c r="E740" s="20"/>
      <c r="F740" s="20"/>
      <c r="G740" s="65"/>
    </row>
    <row r="741" ht="15.75" customHeight="1">
      <c r="A741" s="110"/>
      <c r="B741" s="20"/>
      <c r="C741" s="20"/>
      <c r="D741" s="20"/>
      <c r="E741" s="20"/>
      <c r="F741" s="20"/>
      <c r="G741" s="65"/>
    </row>
    <row r="742" ht="15.75" customHeight="1">
      <c r="A742" s="110"/>
      <c r="B742" s="20"/>
      <c r="C742" s="20"/>
      <c r="D742" s="20"/>
      <c r="E742" s="20"/>
      <c r="F742" s="20"/>
      <c r="G742" s="65"/>
    </row>
    <row r="743" ht="15.75" customHeight="1">
      <c r="A743" s="110"/>
      <c r="B743" s="20"/>
      <c r="C743" s="20"/>
      <c r="D743" s="20"/>
      <c r="E743" s="20"/>
      <c r="F743" s="20"/>
      <c r="G743" s="65"/>
    </row>
    <row r="744" ht="15.75" customHeight="1">
      <c r="A744" s="110"/>
      <c r="B744" s="20"/>
      <c r="C744" s="20"/>
      <c r="D744" s="20"/>
      <c r="E744" s="20"/>
      <c r="F744" s="20"/>
      <c r="G744" s="65"/>
    </row>
    <row r="745" ht="15.75" customHeight="1">
      <c r="A745" s="110"/>
      <c r="B745" s="20"/>
      <c r="C745" s="20"/>
      <c r="D745" s="20"/>
      <c r="E745" s="20"/>
      <c r="F745" s="20"/>
      <c r="G745" s="65"/>
    </row>
    <row r="746" ht="15.75" customHeight="1">
      <c r="A746" s="110"/>
      <c r="B746" s="20"/>
      <c r="C746" s="20"/>
      <c r="D746" s="20"/>
      <c r="E746" s="20"/>
      <c r="F746" s="20"/>
      <c r="G746" s="65"/>
    </row>
    <row r="747" ht="15.75" customHeight="1">
      <c r="A747" s="110"/>
      <c r="B747" s="20"/>
      <c r="C747" s="20"/>
      <c r="D747" s="20"/>
      <c r="E747" s="20"/>
      <c r="F747" s="20"/>
      <c r="G747" s="65"/>
    </row>
    <row r="748" ht="15.75" customHeight="1">
      <c r="A748" s="110"/>
      <c r="B748" s="20"/>
      <c r="C748" s="20"/>
      <c r="D748" s="20"/>
      <c r="E748" s="20"/>
      <c r="F748" s="20"/>
      <c r="G748" s="65"/>
    </row>
    <row r="749" ht="15.75" customHeight="1">
      <c r="A749" s="110"/>
      <c r="B749" s="20"/>
      <c r="C749" s="20"/>
      <c r="D749" s="20"/>
      <c r="E749" s="20"/>
      <c r="F749" s="20"/>
      <c r="G749" s="65"/>
    </row>
    <row r="750" ht="15.75" customHeight="1">
      <c r="A750" s="110"/>
      <c r="B750" s="20"/>
      <c r="C750" s="20"/>
      <c r="D750" s="20"/>
      <c r="E750" s="20"/>
      <c r="F750" s="20"/>
      <c r="G750" s="65"/>
    </row>
    <row r="751" ht="15.75" customHeight="1">
      <c r="A751" s="110"/>
      <c r="B751" s="20"/>
      <c r="C751" s="20"/>
      <c r="D751" s="20"/>
      <c r="E751" s="20"/>
      <c r="F751" s="20"/>
      <c r="G751" s="65"/>
    </row>
    <row r="752" ht="15.75" customHeight="1">
      <c r="A752" s="110"/>
      <c r="B752" s="20"/>
      <c r="C752" s="20"/>
      <c r="D752" s="20"/>
      <c r="E752" s="20"/>
      <c r="F752" s="20"/>
      <c r="G752" s="65"/>
    </row>
    <row r="753" ht="15.75" customHeight="1">
      <c r="A753" s="110"/>
      <c r="B753" s="20"/>
      <c r="C753" s="20"/>
      <c r="D753" s="20"/>
      <c r="E753" s="20"/>
      <c r="F753" s="20"/>
      <c r="G753" s="65"/>
    </row>
    <row r="754" ht="15.75" customHeight="1">
      <c r="A754" s="110"/>
      <c r="B754" s="20"/>
      <c r="C754" s="20"/>
      <c r="D754" s="20"/>
      <c r="E754" s="20"/>
      <c r="F754" s="20"/>
      <c r="G754" s="65"/>
    </row>
    <row r="755" ht="15.75" customHeight="1">
      <c r="A755" s="110"/>
      <c r="B755" s="20"/>
      <c r="C755" s="20"/>
      <c r="D755" s="20"/>
      <c r="E755" s="20"/>
      <c r="F755" s="20"/>
      <c r="G755" s="65"/>
    </row>
    <row r="756" ht="15.75" customHeight="1">
      <c r="A756" s="110"/>
      <c r="B756" s="20"/>
      <c r="C756" s="20"/>
      <c r="D756" s="20"/>
      <c r="E756" s="20"/>
      <c r="F756" s="20"/>
      <c r="G756" s="65"/>
    </row>
    <row r="757" ht="15.75" customHeight="1">
      <c r="A757" s="110"/>
      <c r="B757" s="20"/>
      <c r="C757" s="20"/>
      <c r="D757" s="20"/>
      <c r="E757" s="20"/>
      <c r="F757" s="20"/>
      <c r="G757" s="65"/>
    </row>
    <row r="758" ht="15.75" customHeight="1">
      <c r="A758" s="110"/>
      <c r="B758" s="20"/>
      <c r="C758" s="20"/>
      <c r="D758" s="20"/>
      <c r="E758" s="20"/>
      <c r="F758" s="20"/>
      <c r="G758" s="65"/>
    </row>
    <row r="759" ht="15.75" customHeight="1">
      <c r="A759" s="110"/>
      <c r="B759" s="20"/>
      <c r="C759" s="20"/>
      <c r="D759" s="20"/>
      <c r="E759" s="20"/>
      <c r="F759" s="20"/>
      <c r="G759" s="65"/>
    </row>
    <row r="760" ht="15.75" customHeight="1">
      <c r="A760" s="110"/>
      <c r="B760" s="20"/>
      <c r="C760" s="20"/>
      <c r="D760" s="20"/>
      <c r="E760" s="20"/>
      <c r="F760" s="20"/>
      <c r="G760" s="65"/>
    </row>
    <row r="761" ht="15.75" customHeight="1">
      <c r="A761" s="110"/>
      <c r="B761" s="20"/>
      <c r="C761" s="20"/>
      <c r="D761" s="20"/>
      <c r="E761" s="20"/>
      <c r="F761" s="20"/>
      <c r="G761" s="65"/>
    </row>
    <row r="762" ht="15.75" customHeight="1">
      <c r="A762" s="110"/>
      <c r="B762" s="20"/>
      <c r="C762" s="20"/>
      <c r="D762" s="20"/>
      <c r="E762" s="20"/>
      <c r="F762" s="20"/>
      <c r="G762" s="65"/>
    </row>
    <row r="763" ht="15.75" customHeight="1">
      <c r="A763" s="110"/>
      <c r="B763" s="20"/>
      <c r="C763" s="20"/>
      <c r="D763" s="20"/>
      <c r="E763" s="20"/>
      <c r="F763" s="20"/>
      <c r="G763" s="65"/>
    </row>
    <row r="764" ht="15.75" customHeight="1">
      <c r="A764" s="110"/>
      <c r="B764" s="20"/>
      <c r="C764" s="20"/>
      <c r="D764" s="20"/>
      <c r="E764" s="20"/>
      <c r="F764" s="20"/>
      <c r="G764" s="65"/>
    </row>
    <row r="765" ht="15.75" customHeight="1">
      <c r="A765" s="110"/>
      <c r="B765" s="20"/>
      <c r="C765" s="20"/>
      <c r="D765" s="20"/>
      <c r="E765" s="20"/>
      <c r="F765" s="20"/>
      <c r="G765" s="65"/>
    </row>
    <row r="766" ht="15.75" customHeight="1">
      <c r="A766" s="110"/>
      <c r="B766" s="20"/>
      <c r="C766" s="20"/>
      <c r="D766" s="20"/>
      <c r="E766" s="20"/>
      <c r="F766" s="20"/>
      <c r="G766" s="65"/>
    </row>
    <row r="767" ht="15.75" customHeight="1">
      <c r="A767" s="110"/>
      <c r="B767" s="20"/>
      <c r="C767" s="20"/>
      <c r="D767" s="20"/>
      <c r="E767" s="20"/>
      <c r="F767" s="20"/>
      <c r="G767" s="65"/>
    </row>
    <row r="768" ht="15.75" customHeight="1">
      <c r="A768" s="110"/>
      <c r="B768" s="20"/>
      <c r="C768" s="20"/>
      <c r="D768" s="20"/>
      <c r="E768" s="20"/>
      <c r="F768" s="20"/>
      <c r="G768" s="65"/>
    </row>
    <row r="769" ht="15.75" customHeight="1">
      <c r="A769" s="110"/>
      <c r="B769" s="20"/>
      <c r="C769" s="20"/>
      <c r="D769" s="20"/>
      <c r="E769" s="20"/>
      <c r="F769" s="20"/>
      <c r="G769" s="65"/>
    </row>
    <row r="770" ht="15.75" customHeight="1">
      <c r="A770" s="110"/>
      <c r="B770" s="20"/>
      <c r="C770" s="20"/>
      <c r="D770" s="20"/>
      <c r="E770" s="20"/>
      <c r="F770" s="20"/>
      <c r="G770" s="65"/>
    </row>
    <row r="771" ht="15.75" customHeight="1">
      <c r="A771" s="110"/>
      <c r="B771" s="20"/>
      <c r="C771" s="20"/>
      <c r="D771" s="20"/>
      <c r="E771" s="20"/>
      <c r="F771" s="20"/>
      <c r="G771" s="65"/>
    </row>
    <row r="772" ht="15.75" customHeight="1">
      <c r="A772" s="110"/>
      <c r="B772" s="20"/>
      <c r="C772" s="20"/>
      <c r="D772" s="20"/>
      <c r="E772" s="20"/>
      <c r="F772" s="20"/>
      <c r="G772" s="65"/>
    </row>
    <row r="773" ht="15.75" customHeight="1">
      <c r="A773" s="110"/>
      <c r="B773" s="20"/>
      <c r="C773" s="20"/>
      <c r="D773" s="20"/>
      <c r="E773" s="20"/>
      <c r="F773" s="20"/>
      <c r="G773" s="65"/>
    </row>
    <row r="774" ht="15.75" customHeight="1">
      <c r="A774" s="110"/>
      <c r="B774" s="20"/>
      <c r="C774" s="20"/>
      <c r="D774" s="20"/>
      <c r="E774" s="20"/>
      <c r="F774" s="20"/>
      <c r="G774" s="65"/>
    </row>
    <row r="775" ht="15.75" customHeight="1">
      <c r="A775" s="110"/>
      <c r="B775" s="20"/>
      <c r="C775" s="20"/>
      <c r="D775" s="20"/>
      <c r="E775" s="20"/>
      <c r="F775" s="20"/>
      <c r="G775" s="65"/>
    </row>
    <row r="776" ht="15.75" customHeight="1">
      <c r="A776" s="110"/>
      <c r="B776" s="20"/>
      <c r="C776" s="20"/>
      <c r="D776" s="20"/>
      <c r="E776" s="20"/>
      <c r="F776" s="20"/>
      <c r="G776" s="65"/>
    </row>
    <row r="777" ht="15.75" customHeight="1">
      <c r="A777" s="110"/>
      <c r="B777" s="20"/>
      <c r="C777" s="20"/>
      <c r="D777" s="20"/>
      <c r="E777" s="20"/>
      <c r="F777" s="20"/>
      <c r="G777" s="65"/>
    </row>
    <row r="778" ht="15.75" customHeight="1">
      <c r="A778" s="110"/>
      <c r="B778" s="20"/>
      <c r="C778" s="20"/>
      <c r="D778" s="20"/>
      <c r="E778" s="20"/>
      <c r="F778" s="20"/>
      <c r="G778" s="65"/>
    </row>
    <row r="779" ht="15.75" customHeight="1">
      <c r="A779" s="110"/>
      <c r="B779" s="20"/>
      <c r="C779" s="20"/>
      <c r="D779" s="20"/>
      <c r="E779" s="20"/>
      <c r="F779" s="20"/>
      <c r="G779" s="65"/>
    </row>
    <row r="780" ht="15.75" customHeight="1">
      <c r="A780" s="110"/>
      <c r="B780" s="20"/>
      <c r="C780" s="20"/>
      <c r="D780" s="20"/>
      <c r="E780" s="20"/>
      <c r="F780" s="20"/>
      <c r="G780" s="65"/>
    </row>
    <row r="781" ht="15.75" customHeight="1">
      <c r="A781" s="110"/>
      <c r="B781" s="20"/>
      <c r="C781" s="20"/>
      <c r="D781" s="20"/>
      <c r="E781" s="20"/>
      <c r="F781" s="20"/>
      <c r="G781" s="65"/>
    </row>
    <row r="782" ht="15.75" customHeight="1">
      <c r="A782" s="110"/>
      <c r="B782" s="20"/>
      <c r="C782" s="20"/>
      <c r="D782" s="20"/>
      <c r="E782" s="20"/>
      <c r="F782" s="20"/>
      <c r="G782" s="65"/>
    </row>
    <row r="783" ht="15.75" customHeight="1">
      <c r="A783" s="110"/>
      <c r="B783" s="20"/>
      <c r="C783" s="20"/>
      <c r="D783" s="20"/>
      <c r="E783" s="20"/>
      <c r="F783" s="20"/>
      <c r="G783" s="65"/>
    </row>
    <row r="784" ht="15.75" customHeight="1">
      <c r="A784" s="110"/>
      <c r="B784" s="20"/>
      <c r="C784" s="20"/>
      <c r="D784" s="20"/>
      <c r="E784" s="20"/>
      <c r="F784" s="20"/>
      <c r="G784" s="65"/>
    </row>
    <row r="785" ht="15.75" customHeight="1">
      <c r="A785" s="110"/>
      <c r="B785" s="20"/>
      <c r="C785" s="20"/>
      <c r="D785" s="20"/>
      <c r="E785" s="20"/>
      <c r="F785" s="20"/>
      <c r="G785" s="65"/>
    </row>
    <row r="786" ht="15.75" customHeight="1">
      <c r="A786" s="110"/>
      <c r="B786" s="20"/>
      <c r="C786" s="20"/>
      <c r="D786" s="20"/>
      <c r="E786" s="20"/>
      <c r="F786" s="20"/>
      <c r="G786" s="65"/>
    </row>
    <row r="787" ht="15.75" customHeight="1">
      <c r="A787" s="110"/>
      <c r="B787" s="20"/>
      <c r="C787" s="20"/>
      <c r="D787" s="20"/>
      <c r="E787" s="20"/>
      <c r="F787" s="20"/>
      <c r="G787" s="65"/>
    </row>
    <row r="788" ht="15.75" customHeight="1">
      <c r="A788" s="110"/>
      <c r="B788" s="20"/>
      <c r="C788" s="20"/>
      <c r="D788" s="20"/>
      <c r="E788" s="20"/>
      <c r="F788" s="20"/>
      <c r="G788" s="65"/>
    </row>
    <row r="789" ht="15.75" customHeight="1">
      <c r="A789" s="110"/>
      <c r="B789" s="20"/>
      <c r="C789" s="20"/>
      <c r="D789" s="20"/>
      <c r="E789" s="20"/>
      <c r="F789" s="20"/>
      <c r="G789" s="65"/>
    </row>
    <row r="790" ht="15.75" customHeight="1">
      <c r="A790" s="110"/>
      <c r="B790" s="20"/>
      <c r="C790" s="20"/>
      <c r="D790" s="20"/>
      <c r="E790" s="20"/>
      <c r="F790" s="20"/>
      <c r="G790" s="65"/>
    </row>
    <row r="791" ht="15.75" customHeight="1">
      <c r="A791" s="110"/>
      <c r="B791" s="20"/>
      <c r="C791" s="20"/>
      <c r="D791" s="20"/>
      <c r="E791" s="20"/>
      <c r="F791" s="20"/>
      <c r="G791" s="65"/>
    </row>
    <row r="792" ht="15.75" customHeight="1">
      <c r="A792" s="110"/>
      <c r="B792" s="20"/>
      <c r="C792" s="20"/>
      <c r="D792" s="20"/>
      <c r="E792" s="20"/>
      <c r="F792" s="20"/>
      <c r="G792" s="65"/>
    </row>
    <row r="793" ht="15.75" customHeight="1">
      <c r="A793" s="110"/>
      <c r="B793" s="20"/>
      <c r="C793" s="20"/>
      <c r="D793" s="20"/>
      <c r="E793" s="20"/>
      <c r="F793" s="20"/>
      <c r="G793" s="65"/>
    </row>
    <row r="794" ht="15.75" customHeight="1">
      <c r="A794" s="110"/>
      <c r="B794" s="20"/>
      <c r="C794" s="20"/>
      <c r="D794" s="20"/>
      <c r="E794" s="20"/>
      <c r="F794" s="20"/>
      <c r="G794" s="65"/>
    </row>
    <row r="795" ht="15.75" customHeight="1">
      <c r="A795" s="110"/>
      <c r="B795" s="20"/>
      <c r="C795" s="20"/>
      <c r="D795" s="20"/>
      <c r="E795" s="20"/>
      <c r="F795" s="20"/>
      <c r="G795" s="65"/>
    </row>
    <row r="796" ht="15.75" customHeight="1">
      <c r="A796" s="110"/>
      <c r="B796" s="20"/>
      <c r="C796" s="20"/>
      <c r="D796" s="20"/>
      <c r="E796" s="20"/>
      <c r="F796" s="20"/>
      <c r="G796" s="65"/>
    </row>
    <row r="797" ht="15.75" customHeight="1">
      <c r="A797" s="110"/>
      <c r="B797" s="20"/>
      <c r="C797" s="20"/>
      <c r="D797" s="20"/>
      <c r="E797" s="20"/>
      <c r="F797" s="20"/>
      <c r="G797" s="65"/>
    </row>
    <row r="798" ht="15.75" customHeight="1">
      <c r="A798" s="110"/>
      <c r="B798" s="20"/>
      <c r="C798" s="20"/>
      <c r="D798" s="20"/>
      <c r="E798" s="20"/>
      <c r="F798" s="20"/>
      <c r="G798" s="65"/>
    </row>
    <row r="799" ht="15.75" customHeight="1">
      <c r="A799" s="110"/>
      <c r="B799" s="20"/>
      <c r="C799" s="20"/>
      <c r="D799" s="20"/>
      <c r="E799" s="20"/>
      <c r="F799" s="20"/>
      <c r="G799" s="65"/>
    </row>
    <row r="800" ht="15.75" customHeight="1">
      <c r="A800" s="110"/>
      <c r="B800" s="20"/>
      <c r="C800" s="20"/>
      <c r="D800" s="20"/>
      <c r="E800" s="20"/>
      <c r="F800" s="20"/>
      <c r="G800" s="65"/>
    </row>
    <row r="801" ht="15.75" customHeight="1">
      <c r="A801" s="110"/>
      <c r="B801" s="20"/>
      <c r="C801" s="20"/>
      <c r="D801" s="20"/>
      <c r="E801" s="20"/>
      <c r="F801" s="20"/>
      <c r="G801" s="65"/>
    </row>
    <row r="802" ht="15.75" customHeight="1">
      <c r="A802" s="110"/>
      <c r="B802" s="20"/>
      <c r="C802" s="20"/>
      <c r="D802" s="20"/>
      <c r="E802" s="20"/>
      <c r="F802" s="20"/>
      <c r="G802" s="65"/>
    </row>
    <row r="803" ht="15.75" customHeight="1">
      <c r="A803" s="110"/>
      <c r="B803" s="20"/>
      <c r="C803" s="20"/>
      <c r="D803" s="20"/>
      <c r="E803" s="20"/>
      <c r="F803" s="20"/>
      <c r="G803" s="65"/>
    </row>
    <row r="804" ht="15.75" customHeight="1">
      <c r="A804" s="110"/>
      <c r="B804" s="20"/>
      <c r="C804" s="20"/>
      <c r="D804" s="20"/>
      <c r="E804" s="20"/>
      <c r="F804" s="20"/>
      <c r="G804" s="65"/>
    </row>
    <row r="805" ht="15.75" customHeight="1">
      <c r="A805" s="110"/>
      <c r="B805" s="20"/>
      <c r="C805" s="20"/>
      <c r="D805" s="20"/>
      <c r="E805" s="20"/>
      <c r="F805" s="20"/>
      <c r="G805" s="65"/>
    </row>
    <row r="806" ht="15.75" customHeight="1">
      <c r="A806" s="110"/>
      <c r="B806" s="20"/>
      <c r="C806" s="20"/>
      <c r="D806" s="20"/>
      <c r="E806" s="20"/>
      <c r="F806" s="20"/>
      <c r="G806" s="65"/>
    </row>
    <row r="807" ht="15.75" customHeight="1">
      <c r="A807" s="110"/>
      <c r="B807" s="20"/>
      <c r="C807" s="20"/>
      <c r="D807" s="20"/>
      <c r="E807" s="20"/>
      <c r="F807" s="20"/>
      <c r="G807" s="65"/>
    </row>
    <row r="808" ht="15.75" customHeight="1">
      <c r="A808" s="110"/>
      <c r="B808" s="20"/>
      <c r="C808" s="20"/>
      <c r="D808" s="20"/>
      <c r="E808" s="20"/>
      <c r="F808" s="20"/>
      <c r="G808" s="65"/>
    </row>
    <row r="809" ht="15.75" customHeight="1">
      <c r="A809" s="110"/>
      <c r="B809" s="20"/>
      <c r="C809" s="20"/>
      <c r="D809" s="20"/>
      <c r="E809" s="20"/>
      <c r="F809" s="20"/>
      <c r="G809" s="65"/>
    </row>
    <row r="810" ht="15.75" customHeight="1">
      <c r="A810" s="110"/>
      <c r="B810" s="20"/>
      <c r="C810" s="20"/>
      <c r="D810" s="20"/>
      <c r="E810" s="20"/>
      <c r="F810" s="20"/>
      <c r="G810" s="65"/>
    </row>
    <row r="811" ht="15.75" customHeight="1">
      <c r="A811" s="110"/>
      <c r="B811" s="20"/>
      <c r="C811" s="20"/>
      <c r="D811" s="20"/>
      <c r="E811" s="20"/>
      <c r="F811" s="20"/>
      <c r="G811" s="65"/>
    </row>
    <row r="812" ht="15.75" customHeight="1">
      <c r="A812" s="110"/>
      <c r="B812" s="20"/>
      <c r="C812" s="20"/>
      <c r="D812" s="20"/>
      <c r="E812" s="20"/>
      <c r="F812" s="20"/>
      <c r="G812" s="65"/>
    </row>
    <row r="813" ht="15.75" customHeight="1">
      <c r="A813" s="110"/>
      <c r="B813" s="20"/>
      <c r="C813" s="20"/>
      <c r="D813" s="20"/>
      <c r="E813" s="20"/>
      <c r="F813" s="20"/>
      <c r="G813" s="65"/>
    </row>
    <row r="814" ht="15.75" customHeight="1">
      <c r="A814" s="110"/>
      <c r="B814" s="20"/>
      <c r="C814" s="20"/>
      <c r="D814" s="20"/>
      <c r="E814" s="20"/>
      <c r="F814" s="20"/>
      <c r="G814" s="65"/>
    </row>
    <row r="815" ht="15.75" customHeight="1">
      <c r="A815" s="110"/>
      <c r="B815" s="20"/>
      <c r="C815" s="20"/>
      <c r="D815" s="20"/>
      <c r="E815" s="20"/>
      <c r="F815" s="20"/>
      <c r="G815" s="65"/>
    </row>
    <row r="816" ht="15.75" customHeight="1">
      <c r="A816" s="110"/>
      <c r="B816" s="20"/>
      <c r="C816" s="20"/>
      <c r="D816" s="20"/>
      <c r="E816" s="20"/>
      <c r="F816" s="20"/>
      <c r="G816" s="65"/>
    </row>
    <row r="817" ht="15.75" customHeight="1">
      <c r="A817" s="110"/>
      <c r="B817" s="20"/>
      <c r="C817" s="20"/>
      <c r="D817" s="20"/>
      <c r="E817" s="20"/>
      <c r="F817" s="20"/>
      <c r="G817" s="65"/>
    </row>
    <row r="818" ht="15.75" customHeight="1">
      <c r="A818" s="110"/>
      <c r="B818" s="20"/>
      <c r="C818" s="20"/>
      <c r="D818" s="20"/>
      <c r="E818" s="20"/>
      <c r="F818" s="20"/>
      <c r="G818" s="65"/>
    </row>
    <row r="819" ht="15.75" customHeight="1">
      <c r="A819" s="110"/>
      <c r="B819" s="20"/>
      <c r="C819" s="20"/>
      <c r="D819" s="20"/>
      <c r="E819" s="20"/>
      <c r="F819" s="20"/>
      <c r="G819" s="65"/>
    </row>
    <row r="820" ht="15.75" customHeight="1">
      <c r="A820" s="110"/>
      <c r="B820" s="20"/>
      <c r="C820" s="20"/>
      <c r="D820" s="20"/>
      <c r="E820" s="20"/>
      <c r="F820" s="20"/>
      <c r="G820" s="65"/>
    </row>
    <row r="821" ht="15.75" customHeight="1">
      <c r="A821" s="110"/>
      <c r="B821" s="20"/>
      <c r="C821" s="20"/>
      <c r="D821" s="20"/>
      <c r="E821" s="20"/>
      <c r="F821" s="20"/>
      <c r="G821" s="65"/>
    </row>
    <row r="822" ht="15.75" customHeight="1">
      <c r="A822" s="110"/>
      <c r="B822" s="20"/>
      <c r="C822" s="20"/>
      <c r="D822" s="20"/>
      <c r="E822" s="20"/>
      <c r="F822" s="20"/>
      <c r="G822" s="65"/>
    </row>
    <row r="823" ht="15.75" customHeight="1">
      <c r="A823" s="110"/>
      <c r="B823" s="20"/>
      <c r="C823" s="20"/>
      <c r="D823" s="20"/>
      <c r="E823" s="20"/>
      <c r="F823" s="20"/>
      <c r="G823" s="65"/>
    </row>
    <row r="824" ht="15.75" customHeight="1">
      <c r="A824" s="110"/>
      <c r="B824" s="20"/>
      <c r="C824" s="20"/>
      <c r="D824" s="20"/>
      <c r="E824" s="20"/>
      <c r="F824" s="20"/>
      <c r="G824" s="65"/>
    </row>
    <row r="825" ht="15.75" customHeight="1">
      <c r="A825" s="110"/>
      <c r="B825" s="20"/>
      <c r="C825" s="20"/>
      <c r="D825" s="20"/>
      <c r="E825" s="20"/>
      <c r="F825" s="20"/>
      <c r="G825" s="65"/>
    </row>
    <row r="826" ht="15.75" customHeight="1">
      <c r="A826" s="110"/>
      <c r="B826" s="20"/>
      <c r="C826" s="20"/>
      <c r="D826" s="20"/>
      <c r="E826" s="20"/>
      <c r="F826" s="20"/>
      <c r="G826" s="65"/>
    </row>
    <row r="827" ht="15.75" customHeight="1">
      <c r="A827" s="110"/>
      <c r="B827" s="20"/>
      <c r="C827" s="20"/>
      <c r="D827" s="20"/>
      <c r="E827" s="20"/>
      <c r="F827" s="20"/>
      <c r="G827" s="65"/>
    </row>
    <row r="828" ht="15.75" customHeight="1">
      <c r="A828" s="110"/>
      <c r="B828" s="20"/>
      <c r="C828" s="20"/>
      <c r="D828" s="20"/>
      <c r="E828" s="20"/>
      <c r="F828" s="20"/>
      <c r="G828" s="65"/>
    </row>
    <row r="829" ht="15.75" customHeight="1">
      <c r="A829" s="110"/>
      <c r="B829" s="20"/>
      <c r="C829" s="20"/>
      <c r="D829" s="20"/>
      <c r="E829" s="20"/>
      <c r="F829" s="20"/>
      <c r="G829" s="65"/>
    </row>
    <row r="830" ht="15.75" customHeight="1">
      <c r="A830" s="110"/>
      <c r="B830" s="20"/>
      <c r="C830" s="20"/>
      <c r="D830" s="20"/>
      <c r="E830" s="20"/>
      <c r="F830" s="20"/>
      <c r="G830" s="65"/>
    </row>
    <row r="831" ht="15.75" customHeight="1">
      <c r="A831" s="110"/>
      <c r="B831" s="20"/>
      <c r="C831" s="20"/>
      <c r="D831" s="20"/>
      <c r="E831" s="20"/>
      <c r="F831" s="20"/>
      <c r="G831" s="65"/>
    </row>
    <row r="832" ht="15.75" customHeight="1">
      <c r="A832" s="110"/>
      <c r="B832" s="20"/>
      <c r="C832" s="20"/>
      <c r="D832" s="20"/>
      <c r="E832" s="20"/>
      <c r="F832" s="20"/>
      <c r="G832" s="65"/>
    </row>
    <row r="833" ht="15.75" customHeight="1">
      <c r="A833" s="110"/>
      <c r="B833" s="20"/>
      <c r="C833" s="20"/>
      <c r="D833" s="20"/>
      <c r="E833" s="20"/>
      <c r="F833" s="20"/>
      <c r="G833" s="65"/>
    </row>
    <row r="834" ht="15.75" customHeight="1">
      <c r="A834" s="110"/>
      <c r="B834" s="20"/>
      <c r="C834" s="20"/>
      <c r="D834" s="20"/>
      <c r="E834" s="20"/>
      <c r="F834" s="20"/>
      <c r="G834" s="65"/>
    </row>
    <row r="835" ht="15.75" customHeight="1">
      <c r="A835" s="110"/>
      <c r="B835" s="20"/>
      <c r="C835" s="20"/>
      <c r="D835" s="20"/>
      <c r="E835" s="20"/>
      <c r="F835" s="20"/>
      <c r="G835" s="65"/>
    </row>
    <row r="836" ht="15.75" customHeight="1">
      <c r="A836" s="110"/>
      <c r="B836" s="20"/>
      <c r="C836" s="20"/>
      <c r="D836" s="20"/>
      <c r="E836" s="20"/>
      <c r="F836" s="20"/>
      <c r="G836" s="65"/>
    </row>
    <row r="837" ht="15.75" customHeight="1">
      <c r="A837" s="110"/>
      <c r="B837" s="20"/>
      <c r="C837" s="20"/>
      <c r="D837" s="20"/>
      <c r="E837" s="20"/>
      <c r="F837" s="20"/>
      <c r="G837" s="65"/>
    </row>
    <row r="838" ht="15.75" customHeight="1">
      <c r="A838" s="110"/>
      <c r="B838" s="20"/>
      <c r="C838" s="20"/>
      <c r="D838" s="20"/>
      <c r="E838" s="20"/>
      <c r="F838" s="20"/>
      <c r="G838" s="65"/>
    </row>
    <row r="839" ht="15.75" customHeight="1">
      <c r="A839" s="110"/>
      <c r="B839" s="20"/>
      <c r="C839" s="20"/>
      <c r="D839" s="20"/>
      <c r="E839" s="20"/>
      <c r="F839" s="20"/>
      <c r="G839" s="65"/>
    </row>
    <row r="840" ht="15.75" customHeight="1">
      <c r="A840" s="110"/>
      <c r="B840" s="20"/>
      <c r="C840" s="20"/>
      <c r="D840" s="20"/>
      <c r="E840" s="20"/>
      <c r="F840" s="20"/>
      <c r="G840" s="65"/>
    </row>
    <row r="841" ht="15.75" customHeight="1">
      <c r="A841" s="110"/>
      <c r="B841" s="20"/>
      <c r="C841" s="20"/>
      <c r="D841" s="20"/>
      <c r="E841" s="20"/>
      <c r="F841" s="20"/>
      <c r="G841" s="65"/>
    </row>
    <row r="842" ht="15.75" customHeight="1">
      <c r="A842" s="110"/>
      <c r="B842" s="20"/>
      <c r="C842" s="20"/>
      <c r="D842" s="20"/>
      <c r="E842" s="20"/>
      <c r="F842" s="20"/>
      <c r="G842" s="65"/>
    </row>
    <row r="843" ht="15.75" customHeight="1">
      <c r="A843" s="110"/>
      <c r="B843" s="20"/>
      <c r="C843" s="20"/>
      <c r="D843" s="20"/>
      <c r="E843" s="20"/>
      <c r="F843" s="20"/>
      <c r="G843" s="65"/>
    </row>
    <row r="844" ht="15.75" customHeight="1">
      <c r="A844" s="110"/>
      <c r="B844" s="20"/>
      <c r="C844" s="20"/>
      <c r="D844" s="20"/>
      <c r="E844" s="20"/>
      <c r="F844" s="20"/>
      <c r="G844" s="65"/>
    </row>
    <row r="845" ht="15.75" customHeight="1">
      <c r="A845" s="110"/>
      <c r="B845" s="20"/>
      <c r="C845" s="20"/>
      <c r="D845" s="20"/>
      <c r="E845" s="20"/>
      <c r="F845" s="20"/>
      <c r="G845" s="65"/>
    </row>
    <row r="846" ht="15.75" customHeight="1">
      <c r="A846" s="110"/>
      <c r="B846" s="20"/>
      <c r="C846" s="20"/>
      <c r="D846" s="20"/>
      <c r="E846" s="20"/>
      <c r="F846" s="20"/>
      <c r="G846" s="65"/>
    </row>
    <row r="847" ht="15.75" customHeight="1">
      <c r="A847" s="110"/>
      <c r="B847" s="20"/>
      <c r="C847" s="20"/>
      <c r="D847" s="20"/>
      <c r="E847" s="20"/>
      <c r="F847" s="20"/>
      <c r="G847" s="65"/>
    </row>
    <row r="848" ht="15.75" customHeight="1">
      <c r="A848" s="110"/>
      <c r="B848" s="20"/>
      <c r="C848" s="20"/>
      <c r="D848" s="20"/>
      <c r="E848" s="20"/>
      <c r="F848" s="20"/>
      <c r="G848" s="65"/>
    </row>
    <row r="849" ht="15.75" customHeight="1">
      <c r="A849" s="110"/>
      <c r="B849" s="20"/>
      <c r="C849" s="20"/>
      <c r="D849" s="20"/>
      <c r="E849" s="20"/>
      <c r="F849" s="20"/>
      <c r="G849" s="65"/>
    </row>
    <row r="850" ht="15.75" customHeight="1">
      <c r="A850" s="110"/>
      <c r="B850" s="20"/>
      <c r="C850" s="20"/>
      <c r="D850" s="20"/>
      <c r="E850" s="20"/>
      <c r="F850" s="20"/>
      <c r="G850" s="65"/>
    </row>
    <row r="851" ht="15.75" customHeight="1">
      <c r="A851" s="110"/>
      <c r="B851" s="20"/>
      <c r="C851" s="20"/>
      <c r="D851" s="20"/>
      <c r="E851" s="20"/>
      <c r="F851" s="20"/>
      <c r="G851" s="65"/>
    </row>
    <row r="852" ht="15.75" customHeight="1">
      <c r="A852" s="110"/>
      <c r="B852" s="20"/>
      <c r="C852" s="20"/>
      <c r="D852" s="20"/>
      <c r="E852" s="20"/>
      <c r="F852" s="20"/>
      <c r="G852" s="65"/>
    </row>
    <row r="853" ht="15.75" customHeight="1">
      <c r="A853" s="110"/>
      <c r="B853" s="20"/>
      <c r="C853" s="20"/>
      <c r="D853" s="20"/>
      <c r="E853" s="20"/>
      <c r="F853" s="20"/>
      <c r="G853" s="65"/>
    </row>
    <row r="854" ht="15.75" customHeight="1">
      <c r="A854" s="110"/>
      <c r="B854" s="20"/>
      <c r="C854" s="20"/>
      <c r="D854" s="20"/>
      <c r="E854" s="20"/>
      <c r="F854" s="20"/>
      <c r="G854" s="65"/>
    </row>
    <row r="855" ht="15.75" customHeight="1">
      <c r="A855" s="110"/>
      <c r="B855" s="20"/>
      <c r="C855" s="20"/>
      <c r="D855" s="20"/>
      <c r="E855" s="20"/>
      <c r="F855" s="20"/>
      <c r="G855" s="65"/>
    </row>
    <row r="856" ht="15.75" customHeight="1">
      <c r="A856" s="110"/>
      <c r="B856" s="20"/>
      <c r="C856" s="20"/>
      <c r="D856" s="20"/>
      <c r="E856" s="20"/>
      <c r="F856" s="20"/>
      <c r="G856" s="65"/>
    </row>
    <row r="857" ht="15.75" customHeight="1">
      <c r="A857" s="110"/>
      <c r="B857" s="20"/>
      <c r="C857" s="20"/>
      <c r="D857" s="20"/>
      <c r="E857" s="20"/>
      <c r="F857" s="20"/>
      <c r="G857" s="65"/>
    </row>
    <row r="858" ht="15.75" customHeight="1">
      <c r="A858" s="110"/>
      <c r="B858" s="20"/>
      <c r="C858" s="20"/>
      <c r="D858" s="20"/>
      <c r="E858" s="20"/>
      <c r="F858" s="20"/>
      <c r="G858" s="65"/>
    </row>
    <row r="859" ht="15.75" customHeight="1">
      <c r="A859" s="110"/>
      <c r="B859" s="20"/>
      <c r="C859" s="20"/>
      <c r="D859" s="20"/>
      <c r="E859" s="20"/>
      <c r="F859" s="20"/>
      <c r="G859" s="65"/>
    </row>
    <row r="860" ht="15.75" customHeight="1">
      <c r="A860" s="110"/>
      <c r="B860" s="20"/>
      <c r="C860" s="20"/>
      <c r="D860" s="20"/>
      <c r="E860" s="20"/>
      <c r="F860" s="20"/>
      <c r="G860" s="65"/>
    </row>
    <row r="861" ht="15.75" customHeight="1">
      <c r="A861" s="110"/>
      <c r="B861" s="20"/>
      <c r="C861" s="20"/>
      <c r="D861" s="20"/>
      <c r="E861" s="20"/>
      <c r="F861" s="20"/>
      <c r="G861" s="65"/>
    </row>
    <row r="862" ht="15.75" customHeight="1">
      <c r="A862" s="110"/>
      <c r="B862" s="20"/>
      <c r="C862" s="20"/>
      <c r="D862" s="20"/>
      <c r="E862" s="20"/>
      <c r="F862" s="20"/>
      <c r="G862" s="65"/>
    </row>
    <row r="863" ht="15.75" customHeight="1">
      <c r="A863" s="110"/>
      <c r="B863" s="20"/>
      <c r="C863" s="20"/>
      <c r="D863" s="20"/>
      <c r="E863" s="20"/>
      <c r="F863" s="20"/>
      <c r="G863" s="65"/>
    </row>
    <row r="864" ht="15.75" customHeight="1">
      <c r="A864" s="110"/>
      <c r="B864" s="20"/>
      <c r="C864" s="20"/>
      <c r="D864" s="20"/>
      <c r="E864" s="20"/>
      <c r="F864" s="20"/>
      <c r="G864" s="65"/>
    </row>
    <row r="865" ht="15.75" customHeight="1">
      <c r="A865" s="110"/>
      <c r="B865" s="20"/>
      <c r="C865" s="20"/>
      <c r="D865" s="20"/>
      <c r="E865" s="20"/>
      <c r="F865" s="20"/>
      <c r="G865" s="65"/>
    </row>
    <row r="866" ht="15.75" customHeight="1">
      <c r="A866" s="110"/>
      <c r="B866" s="20"/>
      <c r="C866" s="20"/>
      <c r="D866" s="20"/>
      <c r="E866" s="20"/>
      <c r="F866" s="20"/>
      <c r="G866" s="65"/>
    </row>
    <row r="867" ht="15.75" customHeight="1">
      <c r="A867" s="110"/>
      <c r="B867" s="20"/>
      <c r="C867" s="20"/>
      <c r="D867" s="20"/>
      <c r="E867" s="20"/>
      <c r="F867" s="20"/>
      <c r="G867" s="65"/>
    </row>
    <row r="868" ht="15.75" customHeight="1">
      <c r="A868" s="110"/>
      <c r="B868" s="20"/>
      <c r="C868" s="20"/>
      <c r="D868" s="20"/>
      <c r="E868" s="20"/>
      <c r="F868" s="20"/>
      <c r="G868" s="65"/>
    </row>
    <row r="869" ht="15.75" customHeight="1">
      <c r="A869" s="110"/>
      <c r="B869" s="20"/>
      <c r="C869" s="20"/>
      <c r="D869" s="20"/>
      <c r="E869" s="20"/>
      <c r="F869" s="20"/>
      <c r="G869" s="65"/>
    </row>
    <row r="870" ht="15.75" customHeight="1">
      <c r="A870" s="110"/>
      <c r="B870" s="20"/>
      <c r="C870" s="20"/>
      <c r="D870" s="20"/>
      <c r="E870" s="20"/>
      <c r="F870" s="20"/>
      <c r="G870" s="65"/>
    </row>
    <row r="871" ht="15.75" customHeight="1">
      <c r="A871" s="110"/>
      <c r="B871" s="20"/>
      <c r="C871" s="20"/>
      <c r="D871" s="20"/>
      <c r="E871" s="20"/>
      <c r="F871" s="20"/>
      <c r="G871" s="65"/>
    </row>
    <row r="872" ht="15.75" customHeight="1">
      <c r="A872" s="110"/>
      <c r="B872" s="20"/>
      <c r="C872" s="20"/>
      <c r="D872" s="20"/>
      <c r="E872" s="20"/>
      <c r="F872" s="20"/>
      <c r="G872" s="65"/>
    </row>
    <row r="873" ht="15.75" customHeight="1">
      <c r="A873" s="110"/>
      <c r="B873" s="20"/>
      <c r="C873" s="20"/>
      <c r="D873" s="20"/>
      <c r="E873" s="20"/>
      <c r="F873" s="20"/>
      <c r="G873" s="65"/>
    </row>
    <row r="874" ht="15.75" customHeight="1">
      <c r="A874" s="110"/>
      <c r="B874" s="20"/>
      <c r="C874" s="20"/>
      <c r="D874" s="20"/>
      <c r="E874" s="20"/>
      <c r="F874" s="20"/>
      <c r="G874" s="65"/>
    </row>
    <row r="875" ht="15.75" customHeight="1">
      <c r="A875" s="110"/>
      <c r="B875" s="20"/>
      <c r="C875" s="20"/>
      <c r="D875" s="20"/>
      <c r="E875" s="20"/>
      <c r="F875" s="20"/>
      <c r="G875" s="65"/>
    </row>
    <row r="876" ht="15.75" customHeight="1">
      <c r="A876" s="110"/>
      <c r="B876" s="20"/>
      <c r="C876" s="20"/>
      <c r="D876" s="20"/>
      <c r="E876" s="20"/>
      <c r="F876" s="20"/>
      <c r="G876" s="65"/>
    </row>
    <row r="877" ht="15.75" customHeight="1">
      <c r="A877" s="110"/>
      <c r="B877" s="20"/>
      <c r="C877" s="20"/>
      <c r="D877" s="20"/>
      <c r="E877" s="20"/>
      <c r="F877" s="20"/>
      <c r="G877" s="65"/>
    </row>
    <row r="878" ht="15.75" customHeight="1">
      <c r="A878" s="110"/>
      <c r="B878" s="20"/>
      <c r="C878" s="20"/>
      <c r="D878" s="20"/>
      <c r="E878" s="20"/>
      <c r="F878" s="20"/>
      <c r="G878" s="65"/>
    </row>
    <row r="879" ht="15.75" customHeight="1">
      <c r="A879" s="110"/>
      <c r="B879" s="20"/>
      <c r="C879" s="20"/>
      <c r="D879" s="20"/>
      <c r="E879" s="20"/>
      <c r="F879" s="20"/>
      <c r="G879" s="65"/>
    </row>
    <row r="880" ht="15.75" customHeight="1">
      <c r="A880" s="110"/>
      <c r="B880" s="20"/>
      <c r="C880" s="20"/>
      <c r="D880" s="20"/>
      <c r="E880" s="20"/>
      <c r="F880" s="20"/>
      <c r="G880" s="65"/>
    </row>
    <row r="881" ht="15.75" customHeight="1">
      <c r="A881" s="110"/>
      <c r="B881" s="20"/>
      <c r="C881" s="20"/>
      <c r="D881" s="20"/>
      <c r="E881" s="20"/>
      <c r="F881" s="20"/>
      <c r="G881" s="65"/>
    </row>
    <row r="882" ht="15.75" customHeight="1">
      <c r="A882" s="110"/>
      <c r="B882" s="20"/>
      <c r="C882" s="20"/>
      <c r="D882" s="20"/>
      <c r="E882" s="20"/>
      <c r="F882" s="20"/>
      <c r="G882" s="65"/>
    </row>
    <row r="883" ht="15.75" customHeight="1">
      <c r="A883" s="110"/>
      <c r="B883" s="20"/>
      <c r="C883" s="20"/>
      <c r="D883" s="20"/>
      <c r="E883" s="20"/>
      <c r="F883" s="20"/>
      <c r="G883" s="65"/>
    </row>
    <row r="884" ht="15.75" customHeight="1">
      <c r="A884" s="110"/>
      <c r="B884" s="20"/>
      <c r="C884" s="20"/>
      <c r="D884" s="20"/>
      <c r="E884" s="20"/>
      <c r="F884" s="20"/>
      <c r="G884" s="65"/>
    </row>
    <row r="885" ht="15.75" customHeight="1">
      <c r="A885" s="110"/>
      <c r="B885" s="20"/>
      <c r="C885" s="20"/>
      <c r="D885" s="20"/>
      <c r="E885" s="20"/>
      <c r="F885" s="20"/>
      <c r="G885" s="65"/>
    </row>
    <row r="886" ht="15.75" customHeight="1">
      <c r="A886" s="110"/>
      <c r="B886" s="20"/>
      <c r="C886" s="20"/>
      <c r="D886" s="20"/>
      <c r="E886" s="20"/>
      <c r="F886" s="20"/>
      <c r="G886" s="65"/>
    </row>
    <row r="887" ht="15.75" customHeight="1">
      <c r="A887" s="110"/>
      <c r="B887" s="20"/>
      <c r="C887" s="20"/>
      <c r="D887" s="20"/>
      <c r="E887" s="20"/>
      <c r="F887" s="20"/>
      <c r="G887" s="65"/>
    </row>
    <row r="888" ht="15.75" customHeight="1">
      <c r="A888" s="110"/>
      <c r="B888" s="20"/>
      <c r="C888" s="20"/>
      <c r="D888" s="20"/>
      <c r="E888" s="20"/>
      <c r="F888" s="20"/>
      <c r="G888" s="65"/>
    </row>
    <row r="889" ht="15.75" customHeight="1">
      <c r="A889" s="110"/>
      <c r="B889" s="20"/>
      <c r="C889" s="20"/>
      <c r="D889" s="20"/>
      <c r="E889" s="20"/>
      <c r="F889" s="20"/>
      <c r="G889" s="65"/>
    </row>
    <row r="890" ht="15.75" customHeight="1">
      <c r="A890" s="110"/>
      <c r="B890" s="20"/>
      <c r="C890" s="20"/>
      <c r="D890" s="20"/>
      <c r="E890" s="20"/>
      <c r="F890" s="20"/>
      <c r="G890" s="65"/>
    </row>
    <row r="891" ht="15.75" customHeight="1">
      <c r="A891" s="110"/>
      <c r="B891" s="20"/>
      <c r="C891" s="20"/>
      <c r="D891" s="20"/>
      <c r="E891" s="20"/>
      <c r="F891" s="20"/>
      <c r="G891" s="65"/>
    </row>
    <row r="892" ht="15.75" customHeight="1">
      <c r="A892" s="110"/>
      <c r="B892" s="20"/>
      <c r="C892" s="20"/>
      <c r="D892" s="20"/>
      <c r="E892" s="20"/>
      <c r="F892" s="20"/>
      <c r="G892" s="65"/>
    </row>
    <row r="893" ht="15.75" customHeight="1">
      <c r="A893" s="110"/>
      <c r="B893" s="20"/>
      <c r="C893" s="20"/>
      <c r="D893" s="20"/>
      <c r="E893" s="20"/>
      <c r="F893" s="20"/>
      <c r="G893" s="65"/>
    </row>
    <row r="894" ht="15.75" customHeight="1">
      <c r="A894" s="110"/>
      <c r="B894" s="20"/>
      <c r="C894" s="20"/>
      <c r="D894" s="20"/>
      <c r="E894" s="20"/>
      <c r="F894" s="20"/>
      <c r="G894" s="65"/>
    </row>
    <row r="895" ht="15.75" customHeight="1">
      <c r="A895" s="110"/>
      <c r="B895" s="20"/>
      <c r="C895" s="20"/>
      <c r="D895" s="20"/>
      <c r="E895" s="20"/>
      <c r="F895" s="20"/>
      <c r="G895" s="65"/>
    </row>
    <row r="896" ht="15.75" customHeight="1">
      <c r="A896" s="110"/>
      <c r="B896" s="20"/>
      <c r="C896" s="20"/>
      <c r="D896" s="20"/>
      <c r="E896" s="20"/>
      <c r="F896" s="20"/>
      <c r="G896" s="65"/>
    </row>
    <row r="897" ht="15.75" customHeight="1">
      <c r="A897" s="110"/>
      <c r="B897" s="20"/>
      <c r="C897" s="20"/>
      <c r="D897" s="20"/>
      <c r="E897" s="20"/>
      <c r="F897" s="20"/>
      <c r="G897" s="65"/>
    </row>
    <row r="898" ht="15.75" customHeight="1">
      <c r="A898" s="110"/>
      <c r="B898" s="20"/>
      <c r="C898" s="20"/>
      <c r="D898" s="20"/>
      <c r="E898" s="20"/>
      <c r="F898" s="20"/>
      <c r="G898" s="65"/>
    </row>
    <row r="899" ht="15.75" customHeight="1">
      <c r="A899" s="110"/>
      <c r="B899" s="20"/>
      <c r="C899" s="20"/>
      <c r="D899" s="20"/>
      <c r="E899" s="20"/>
      <c r="F899" s="20"/>
      <c r="G899" s="65"/>
    </row>
    <row r="900" ht="15.75" customHeight="1">
      <c r="A900" s="110"/>
      <c r="B900" s="20"/>
      <c r="C900" s="20"/>
      <c r="D900" s="20"/>
      <c r="E900" s="20"/>
      <c r="F900" s="20"/>
      <c r="G900" s="65"/>
    </row>
    <row r="901" ht="15.75" customHeight="1">
      <c r="A901" s="110"/>
      <c r="B901" s="20"/>
      <c r="C901" s="20"/>
      <c r="D901" s="20"/>
      <c r="E901" s="20"/>
      <c r="F901" s="20"/>
      <c r="G901" s="65"/>
    </row>
    <row r="902" ht="15.75" customHeight="1">
      <c r="A902" s="110"/>
      <c r="B902" s="20"/>
      <c r="C902" s="20"/>
      <c r="D902" s="20"/>
      <c r="E902" s="20"/>
      <c r="F902" s="20"/>
      <c r="G902" s="65"/>
    </row>
    <row r="903" ht="15.75" customHeight="1">
      <c r="A903" s="110"/>
      <c r="B903" s="20"/>
      <c r="C903" s="20"/>
      <c r="D903" s="20"/>
      <c r="E903" s="20"/>
      <c r="F903" s="20"/>
      <c r="G903" s="65"/>
    </row>
    <row r="904" ht="15.75" customHeight="1">
      <c r="A904" s="110"/>
      <c r="B904" s="20"/>
      <c r="C904" s="20"/>
      <c r="D904" s="20"/>
      <c r="E904" s="20"/>
      <c r="F904" s="20"/>
      <c r="G904" s="65"/>
    </row>
    <row r="905" ht="15.75" customHeight="1">
      <c r="A905" s="110"/>
      <c r="B905" s="20"/>
      <c r="C905" s="20"/>
      <c r="D905" s="20"/>
      <c r="E905" s="20"/>
      <c r="F905" s="20"/>
      <c r="G905" s="65"/>
    </row>
    <row r="906" ht="15.75" customHeight="1">
      <c r="A906" s="110"/>
      <c r="B906" s="20"/>
      <c r="C906" s="20"/>
      <c r="D906" s="20"/>
      <c r="E906" s="20"/>
      <c r="F906" s="20"/>
      <c r="G906" s="65"/>
    </row>
    <row r="907" ht="15.75" customHeight="1">
      <c r="A907" s="110"/>
      <c r="B907" s="20"/>
      <c r="C907" s="20"/>
      <c r="D907" s="20"/>
      <c r="E907" s="20"/>
      <c r="F907" s="20"/>
      <c r="G907" s="65"/>
    </row>
    <row r="908" ht="15.75" customHeight="1">
      <c r="A908" s="110"/>
      <c r="B908" s="20"/>
      <c r="C908" s="20"/>
      <c r="D908" s="20"/>
      <c r="E908" s="20"/>
      <c r="F908" s="20"/>
      <c r="G908" s="65"/>
    </row>
    <row r="909" ht="15.75" customHeight="1">
      <c r="A909" s="110"/>
      <c r="B909" s="20"/>
      <c r="C909" s="20"/>
      <c r="D909" s="20"/>
      <c r="E909" s="20"/>
      <c r="F909" s="20"/>
      <c r="G909" s="65"/>
    </row>
    <row r="910" ht="15.75" customHeight="1">
      <c r="A910" s="110"/>
      <c r="B910" s="20"/>
      <c r="C910" s="20"/>
      <c r="D910" s="20"/>
      <c r="E910" s="20"/>
      <c r="F910" s="20"/>
      <c r="G910" s="65"/>
    </row>
    <row r="911" ht="15.75" customHeight="1">
      <c r="A911" s="110"/>
      <c r="B911" s="20"/>
      <c r="C911" s="20"/>
      <c r="D911" s="20"/>
      <c r="E911" s="20"/>
      <c r="F911" s="20"/>
      <c r="G911" s="65"/>
    </row>
    <row r="912" ht="15.75" customHeight="1">
      <c r="A912" s="110"/>
      <c r="B912" s="20"/>
      <c r="C912" s="20"/>
      <c r="D912" s="20"/>
      <c r="E912" s="20"/>
      <c r="F912" s="20"/>
      <c r="G912" s="65"/>
    </row>
    <row r="913" ht="15.75" customHeight="1">
      <c r="A913" s="110"/>
      <c r="B913" s="20"/>
      <c r="C913" s="20"/>
      <c r="D913" s="20"/>
      <c r="E913" s="20"/>
      <c r="F913" s="20"/>
      <c r="G913" s="65"/>
    </row>
    <row r="914" ht="15.75" customHeight="1">
      <c r="A914" s="110"/>
      <c r="B914" s="20"/>
      <c r="C914" s="20"/>
      <c r="D914" s="20"/>
      <c r="E914" s="20"/>
      <c r="F914" s="20"/>
      <c r="G914" s="65"/>
    </row>
    <row r="915" ht="15.75" customHeight="1">
      <c r="A915" s="110"/>
      <c r="B915" s="20"/>
      <c r="C915" s="20"/>
      <c r="D915" s="20"/>
      <c r="E915" s="20"/>
      <c r="F915" s="20"/>
      <c r="G915" s="65"/>
    </row>
    <row r="916" ht="15.75" customHeight="1">
      <c r="A916" s="110"/>
      <c r="B916" s="20"/>
      <c r="C916" s="20"/>
      <c r="D916" s="20"/>
      <c r="E916" s="20"/>
      <c r="F916" s="20"/>
      <c r="G916" s="65"/>
    </row>
    <row r="917" ht="15.75" customHeight="1">
      <c r="A917" s="110"/>
      <c r="B917" s="20"/>
      <c r="C917" s="20"/>
      <c r="D917" s="20"/>
      <c r="E917" s="20"/>
      <c r="F917" s="20"/>
      <c r="G917" s="65"/>
    </row>
    <row r="918" ht="15.75" customHeight="1">
      <c r="A918" s="110"/>
      <c r="B918" s="20"/>
      <c r="C918" s="20"/>
      <c r="D918" s="20"/>
      <c r="E918" s="20"/>
      <c r="F918" s="20"/>
      <c r="G918" s="65"/>
    </row>
    <row r="919" ht="15.75" customHeight="1">
      <c r="A919" s="110"/>
      <c r="B919" s="20"/>
      <c r="C919" s="20"/>
      <c r="D919" s="20"/>
      <c r="E919" s="20"/>
      <c r="F919" s="20"/>
      <c r="G919" s="65"/>
    </row>
    <row r="920" ht="15.75" customHeight="1">
      <c r="A920" s="110"/>
      <c r="B920" s="20"/>
      <c r="C920" s="20"/>
      <c r="D920" s="20"/>
      <c r="E920" s="20"/>
      <c r="F920" s="20"/>
      <c r="G920" s="65"/>
    </row>
    <row r="921" ht="15.75" customHeight="1">
      <c r="A921" s="110"/>
      <c r="B921" s="20"/>
      <c r="C921" s="20"/>
      <c r="D921" s="20"/>
      <c r="E921" s="20"/>
      <c r="F921" s="20"/>
      <c r="G921" s="65"/>
    </row>
    <row r="922" ht="15.75" customHeight="1">
      <c r="A922" s="110"/>
      <c r="B922" s="20"/>
      <c r="C922" s="20"/>
      <c r="D922" s="20"/>
      <c r="E922" s="20"/>
      <c r="F922" s="20"/>
      <c r="G922" s="65"/>
    </row>
    <row r="923" ht="15.75" customHeight="1">
      <c r="A923" s="110"/>
      <c r="B923" s="20"/>
      <c r="C923" s="20"/>
      <c r="D923" s="20"/>
      <c r="E923" s="20"/>
      <c r="F923" s="20"/>
      <c r="G923" s="65"/>
    </row>
    <row r="924" ht="15.75" customHeight="1">
      <c r="A924" s="110"/>
      <c r="B924" s="20"/>
      <c r="C924" s="20"/>
      <c r="D924" s="20"/>
      <c r="E924" s="20"/>
      <c r="F924" s="20"/>
      <c r="G924" s="65"/>
    </row>
    <row r="925" ht="15.75" customHeight="1">
      <c r="A925" s="110"/>
      <c r="B925" s="20"/>
      <c r="C925" s="20"/>
      <c r="D925" s="20"/>
      <c r="E925" s="20"/>
      <c r="F925" s="20"/>
      <c r="G925" s="65"/>
    </row>
    <row r="926" ht="15.75" customHeight="1">
      <c r="A926" s="110"/>
      <c r="B926" s="20"/>
      <c r="C926" s="20"/>
      <c r="D926" s="20"/>
      <c r="E926" s="20"/>
      <c r="F926" s="20"/>
      <c r="G926" s="65"/>
    </row>
    <row r="927" ht="15.75" customHeight="1">
      <c r="A927" s="110"/>
      <c r="B927" s="20"/>
      <c r="C927" s="20"/>
      <c r="D927" s="20"/>
      <c r="E927" s="20"/>
      <c r="F927" s="20"/>
      <c r="G927" s="65"/>
    </row>
    <row r="928" ht="15.75" customHeight="1">
      <c r="A928" s="110"/>
      <c r="B928" s="20"/>
      <c r="C928" s="20"/>
      <c r="D928" s="20"/>
      <c r="E928" s="20"/>
      <c r="F928" s="20"/>
      <c r="G928" s="65"/>
    </row>
    <row r="929" ht="15.75" customHeight="1">
      <c r="A929" s="110"/>
      <c r="B929" s="20"/>
      <c r="C929" s="20"/>
      <c r="D929" s="20"/>
      <c r="E929" s="20"/>
      <c r="F929" s="20"/>
      <c r="G929" s="65"/>
    </row>
    <row r="930" ht="15.75" customHeight="1">
      <c r="A930" s="110"/>
      <c r="B930" s="20"/>
      <c r="C930" s="20"/>
      <c r="D930" s="20"/>
      <c r="E930" s="20"/>
      <c r="F930" s="20"/>
      <c r="G930" s="65"/>
    </row>
    <row r="931" ht="15.75" customHeight="1">
      <c r="A931" s="110"/>
      <c r="B931" s="20"/>
      <c r="C931" s="20"/>
      <c r="D931" s="20"/>
      <c r="E931" s="20"/>
      <c r="F931" s="20"/>
      <c r="G931" s="65"/>
    </row>
    <row r="932" ht="15.75" customHeight="1">
      <c r="A932" s="110"/>
      <c r="B932" s="20"/>
      <c r="C932" s="20"/>
      <c r="D932" s="20"/>
      <c r="E932" s="20"/>
      <c r="F932" s="20"/>
      <c r="G932" s="65"/>
    </row>
    <row r="933" ht="15.75" customHeight="1">
      <c r="A933" s="110"/>
      <c r="B933" s="20"/>
      <c r="C933" s="20"/>
      <c r="D933" s="20"/>
      <c r="E933" s="20"/>
      <c r="F933" s="20"/>
      <c r="G933" s="65"/>
    </row>
    <row r="934" ht="15.75" customHeight="1">
      <c r="A934" s="110"/>
      <c r="B934" s="20"/>
      <c r="C934" s="20"/>
      <c r="D934" s="20"/>
      <c r="E934" s="20"/>
      <c r="F934" s="20"/>
      <c r="G934" s="65"/>
    </row>
    <row r="935" ht="15.75" customHeight="1">
      <c r="A935" s="110"/>
      <c r="B935" s="20"/>
      <c r="C935" s="20"/>
      <c r="D935" s="20"/>
      <c r="E935" s="20"/>
      <c r="F935" s="20"/>
      <c r="G935" s="65"/>
    </row>
    <row r="936" ht="15.75" customHeight="1">
      <c r="A936" s="110"/>
      <c r="B936" s="20"/>
      <c r="C936" s="20"/>
      <c r="D936" s="20"/>
      <c r="E936" s="20"/>
      <c r="F936" s="20"/>
      <c r="G936" s="65"/>
    </row>
    <row r="937" ht="15.75" customHeight="1">
      <c r="A937" s="110"/>
      <c r="B937" s="20"/>
      <c r="C937" s="20"/>
      <c r="D937" s="20"/>
      <c r="E937" s="20"/>
      <c r="F937" s="20"/>
      <c r="G937" s="65"/>
    </row>
    <row r="938" ht="15.75" customHeight="1">
      <c r="A938" s="110"/>
      <c r="B938" s="20"/>
      <c r="C938" s="20"/>
      <c r="D938" s="20"/>
      <c r="E938" s="20"/>
      <c r="F938" s="20"/>
      <c r="G938" s="65"/>
    </row>
    <row r="939" ht="15.75" customHeight="1">
      <c r="A939" s="110"/>
      <c r="B939" s="20"/>
      <c r="C939" s="20"/>
      <c r="D939" s="20"/>
      <c r="E939" s="20"/>
      <c r="F939" s="20"/>
      <c r="G939" s="65"/>
    </row>
    <row r="940" ht="15.75" customHeight="1">
      <c r="A940" s="110"/>
      <c r="B940" s="20"/>
      <c r="C940" s="20"/>
      <c r="D940" s="20"/>
      <c r="E940" s="20"/>
      <c r="F940" s="20"/>
      <c r="G940" s="65"/>
    </row>
    <row r="941" ht="15.75" customHeight="1">
      <c r="A941" s="110"/>
      <c r="B941" s="20"/>
      <c r="C941" s="20"/>
      <c r="D941" s="20"/>
      <c r="E941" s="20"/>
      <c r="F941" s="20"/>
      <c r="G941" s="65"/>
    </row>
    <row r="942" ht="15.75" customHeight="1">
      <c r="A942" s="110"/>
      <c r="B942" s="20"/>
      <c r="C942" s="20"/>
      <c r="D942" s="20"/>
      <c r="E942" s="20"/>
      <c r="F942" s="20"/>
      <c r="G942" s="65"/>
    </row>
    <row r="943" ht="15.75" customHeight="1">
      <c r="A943" s="110"/>
      <c r="B943" s="20"/>
      <c r="C943" s="20"/>
      <c r="D943" s="20"/>
      <c r="E943" s="20"/>
      <c r="F943" s="20"/>
      <c r="G943" s="65"/>
    </row>
    <row r="944" ht="15.75" customHeight="1">
      <c r="A944" s="110"/>
      <c r="B944" s="20"/>
      <c r="C944" s="20"/>
      <c r="D944" s="20"/>
      <c r="E944" s="20"/>
      <c r="F944" s="20"/>
      <c r="G944" s="65"/>
    </row>
    <row r="945" ht="15.75" customHeight="1">
      <c r="A945" s="110"/>
      <c r="B945" s="20"/>
      <c r="C945" s="20"/>
      <c r="D945" s="20"/>
      <c r="E945" s="20"/>
      <c r="F945" s="20"/>
      <c r="G945" s="65"/>
    </row>
    <row r="946" ht="15.75" customHeight="1">
      <c r="A946" s="110"/>
      <c r="B946" s="20"/>
      <c r="C946" s="20"/>
      <c r="D946" s="20"/>
      <c r="E946" s="20"/>
      <c r="F946" s="20"/>
      <c r="G946" s="65"/>
    </row>
    <row r="947" ht="15.75" customHeight="1">
      <c r="A947" s="110"/>
      <c r="B947" s="20"/>
      <c r="C947" s="20"/>
      <c r="D947" s="20"/>
      <c r="E947" s="20"/>
      <c r="F947" s="20"/>
      <c r="G947" s="65"/>
    </row>
    <row r="948" ht="15.75" customHeight="1">
      <c r="A948" s="110"/>
      <c r="B948" s="20"/>
      <c r="C948" s="20"/>
      <c r="D948" s="20"/>
      <c r="E948" s="20"/>
      <c r="F948" s="20"/>
      <c r="G948" s="65"/>
    </row>
    <row r="949" ht="15.75" customHeight="1">
      <c r="A949" s="110"/>
      <c r="B949" s="20"/>
      <c r="C949" s="20"/>
      <c r="D949" s="20"/>
      <c r="E949" s="20"/>
      <c r="F949" s="20"/>
      <c r="G949" s="65"/>
    </row>
    <row r="950" ht="15.75" customHeight="1">
      <c r="A950" s="110"/>
      <c r="B950" s="20"/>
      <c r="C950" s="20"/>
      <c r="D950" s="20"/>
      <c r="E950" s="20"/>
      <c r="F950" s="20"/>
      <c r="G950" s="65"/>
    </row>
    <row r="951" ht="15.75" customHeight="1">
      <c r="A951" s="110"/>
      <c r="B951" s="20"/>
      <c r="C951" s="20"/>
      <c r="D951" s="20"/>
      <c r="E951" s="20"/>
      <c r="F951" s="20"/>
      <c r="G951" s="65"/>
    </row>
    <row r="952" ht="15.75" customHeight="1">
      <c r="A952" s="110"/>
      <c r="B952" s="20"/>
      <c r="C952" s="20"/>
      <c r="D952" s="20"/>
      <c r="E952" s="20"/>
      <c r="F952" s="20"/>
      <c r="G952" s="65"/>
    </row>
    <row r="953" ht="15.75" customHeight="1">
      <c r="A953" s="110"/>
      <c r="B953" s="20"/>
      <c r="C953" s="20"/>
      <c r="D953" s="20"/>
      <c r="E953" s="20"/>
      <c r="F953" s="20"/>
      <c r="G953" s="65"/>
    </row>
    <row r="954" ht="15.75" customHeight="1">
      <c r="A954" s="110"/>
      <c r="B954" s="20"/>
      <c r="C954" s="20"/>
      <c r="D954" s="20"/>
      <c r="E954" s="20"/>
      <c r="F954" s="20"/>
      <c r="G954" s="65"/>
    </row>
    <row r="955" ht="15.75" customHeight="1">
      <c r="A955" s="110"/>
      <c r="B955" s="20"/>
      <c r="C955" s="20"/>
      <c r="D955" s="20"/>
      <c r="E955" s="20"/>
      <c r="F955" s="20"/>
      <c r="G955" s="65"/>
    </row>
    <row r="956" ht="15.75" customHeight="1">
      <c r="A956" s="110"/>
      <c r="B956" s="20"/>
      <c r="C956" s="20"/>
      <c r="D956" s="20"/>
      <c r="E956" s="20"/>
      <c r="F956" s="20"/>
      <c r="G956" s="65"/>
    </row>
    <row r="957" ht="15.75" customHeight="1">
      <c r="A957" s="110"/>
      <c r="B957" s="20"/>
      <c r="C957" s="20"/>
      <c r="D957" s="20"/>
      <c r="E957" s="20"/>
      <c r="F957" s="20"/>
      <c r="G957" s="65"/>
    </row>
    <row r="958" ht="15.75" customHeight="1">
      <c r="A958" s="110"/>
      <c r="B958" s="20"/>
      <c r="C958" s="20"/>
      <c r="D958" s="20"/>
      <c r="E958" s="20"/>
      <c r="F958" s="20"/>
      <c r="G958" s="65"/>
    </row>
    <row r="959" ht="15.75" customHeight="1">
      <c r="A959" s="110"/>
      <c r="B959" s="20"/>
      <c r="C959" s="20"/>
      <c r="D959" s="20"/>
      <c r="E959" s="20"/>
      <c r="F959" s="20"/>
      <c r="G959" s="65"/>
    </row>
    <row r="960" ht="15.75" customHeight="1">
      <c r="A960" s="110"/>
      <c r="B960" s="20"/>
      <c r="C960" s="20"/>
      <c r="D960" s="20"/>
      <c r="E960" s="20"/>
      <c r="F960" s="20"/>
      <c r="G960" s="65"/>
    </row>
    <row r="961" ht="15.75" customHeight="1">
      <c r="A961" s="110"/>
      <c r="B961" s="20"/>
      <c r="C961" s="20"/>
      <c r="D961" s="20"/>
      <c r="E961" s="20"/>
      <c r="F961" s="20"/>
      <c r="G961" s="65"/>
    </row>
    <row r="962" ht="15.75" customHeight="1">
      <c r="A962" s="110"/>
      <c r="B962" s="20"/>
      <c r="C962" s="20"/>
      <c r="D962" s="20"/>
      <c r="E962" s="20"/>
      <c r="F962" s="20"/>
      <c r="G962" s="65"/>
    </row>
    <row r="963" ht="15.75" customHeight="1">
      <c r="A963" s="110"/>
      <c r="B963" s="20"/>
      <c r="C963" s="20"/>
      <c r="D963" s="20"/>
      <c r="E963" s="20"/>
      <c r="F963" s="20"/>
      <c r="G963" s="65"/>
    </row>
    <row r="964" ht="15.75" customHeight="1">
      <c r="A964" s="110"/>
      <c r="B964" s="20"/>
      <c r="C964" s="20"/>
      <c r="D964" s="20"/>
      <c r="E964" s="20"/>
      <c r="F964" s="20"/>
      <c r="G964" s="65"/>
    </row>
    <row r="965" ht="15.75" customHeight="1">
      <c r="A965" s="110"/>
      <c r="B965" s="20"/>
      <c r="C965" s="20"/>
      <c r="D965" s="20"/>
      <c r="E965" s="20"/>
      <c r="F965" s="20"/>
      <c r="G965" s="65"/>
    </row>
    <row r="966" ht="15.75" customHeight="1">
      <c r="A966" s="110"/>
      <c r="B966" s="20"/>
      <c r="C966" s="20"/>
      <c r="D966" s="20"/>
      <c r="E966" s="20"/>
      <c r="F966" s="20"/>
      <c r="G966" s="65"/>
    </row>
    <row r="967" ht="15.75" customHeight="1">
      <c r="A967" s="110"/>
      <c r="B967" s="20"/>
      <c r="C967" s="20"/>
      <c r="D967" s="20"/>
      <c r="E967" s="20"/>
      <c r="F967" s="20"/>
      <c r="G967" s="65"/>
    </row>
    <row r="968" ht="15.75" customHeight="1">
      <c r="A968" s="110"/>
      <c r="B968" s="20"/>
      <c r="C968" s="20"/>
      <c r="D968" s="20"/>
      <c r="E968" s="20"/>
      <c r="F968" s="20"/>
      <c r="G968" s="65"/>
    </row>
    <row r="969" ht="15.75" customHeight="1">
      <c r="A969" s="110"/>
      <c r="B969" s="20"/>
      <c r="C969" s="20"/>
      <c r="D969" s="20"/>
      <c r="E969" s="20"/>
      <c r="F969" s="20"/>
      <c r="G969" s="65"/>
    </row>
    <row r="970" ht="15.75" customHeight="1">
      <c r="A970" s="110"/>
      <c r="B970" s="20"/>
      <c r="C970" s="20"/>
      <c r="D970" s="20"/>
      <c r="E970" s="20"/>
      <c r="F970" s="20"/>
      <c r="G970" s="65"/>
    </row>
    <row r="971" ht="15.75" customHeight="1">
      <c r="A971" s="110"/>
      <c r="B971" s="20"/>
      <c r="C971" s="20"/>
      <c r="D971" s="20"/>
      <c r="E971" s="20"/>
      <c r="F971" s="20"/>
      <c r="G971" s="65"/>
    </row>
    <row r="972" ht="15.75" customHeight="1">
      <c r="A972" s="110"/>
      <c r="B972" s="20"/>
      <c r="C972" s="20"/>
      <c r="D972" s="20"/>
      <c r="E972" s="20"/>
      <c r="F972" s="20"/>
      <c r="G972" s="65"/>
    </row>
    <row r="973" ht="15.75" customHeight="1">
      <c r="A973" s="110"/>
      <c r="B973" s="20"/>
      <c r="C973" s="20"/>
      <c r="D973" s="20"/>
      <c r="E973" s="20"/>
      <c r="F973" s="20"/>
      <c r="G973" s="65"/>
    </row>
    <row r="974" ht="15.75" customHeight="1">
      <c r="A974" s="110"/>
      <c r="B974" s="20"/>
      <c r="C974" s="20"/>
      <c r="D974" s="20"/>
      <c r="E974" s="20"/>
      <c r="F974" s="20"/>
      <c r="G974" s="65"/>
    </row>
    <row r="975" ht="15.75" customHeight="1">
      <c r="A975" s="110"/>
      <c r="B975" s="20"/>
      <c r="C975" s="20"/>
      <c r="D975" s="20"/>
      <c r="E975" s="20"/>
      <c r="F975" s="20"/>
      <c r="G975" s="65"/>
    </row>
    <row r="976" ht="15.75" customHeight="1">
      <c r="A976" s="110"/>
      <c r="B976" s="20"/>
      <c r="C976" s="20"/>
      <c r="D976" s="20"/>
      <c r="E976" s="20"/>
      <c r="F976" s="20"/>
      <c r="G976" s="65"/>
    </row>
    <row r="977" ht="15.75" customHeight="1">
      <c r="A977" s="110"/>
      <c r="B977" s="20"/>
      <c r="C977" s="20"/>
      <c r="D977" s="20"/>
      <c r="E977" s="20"/>
      <c r="F977" s="20"/>
      <c r="G977" s="65"/>
    </row>
    <row r="978" ht="15.75" customHeight="1">
      <c r="A978" s="110"/>
      <c r="B978" s="20"/>
      <c r="C978" s="20"/>
      <c r="D978" s="20"/>
      <c r="E978" s="20"/>
      <c r="F978" s="20"/>
      <c r="G978" s="65"/>
    </row>
  </sheetData>
  <autoFilter ref="$A$1:$G$277"/>
  <customSheetViews>
    <customSheetView guid="{22943FB5-61AB-4879-AAED-07E2B368180D}" filter="1" showAutoFilter="1">
      <autoFilter ref="$A$1:$G$161"/>
    </customSheetView>
  </customSheetViews>
  <dataValidations>
    <dataValidation type="list" allowBlank="1" showErrorMessage="1" sqref="C2:C978">
      <formula1>Lists!$E$2:$E$4</formula1>
    </dataValidation>
    <dataValidation type="list" allowBlank="1" showErrorMessage="1" sqref="B2:B978">
      <formula1>"Washing Unit,Fibre Unit,Chips Unit"</formula1>
    </dataValidation>
    <dataValidation type="list" allowBlank="1" showErrorMessage="1" sqref="E2:E978">
      <formula1>Lists!$B$2:$B$9</formula1>
    </dataValidation>
  </dataValidations>
  <hyperlinks>
    <hyperlink r:id="rId1" ref="F135"/>
    <hyperlink r:id="rId2" ref="F139"/>
    <hyperlink r:id="rId3" ref="F149"/>
    <hyperlink r:id="rId4" ref="F220"/>
  </hyperlinks>
  <printOptions/>
  <pageMargins bottom="1.0" footer="0.0" header="0.0" left="0.75" right="0.75" top="1.0"/>
  <pageSetup paperSize="9"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3.57"/>
    <col customWidth="1" min="3" max="3" width="26.43"/>
    <col customWidth="1" min="4" max="4" width="32.86"/>
    <col customWidth="1" min="5" max="5" width="50.43"/>
    <col customWidth="1" min="6" max="6" width="21.14"/>
  </cols>
  <sheetData>
    <row r="1" ht="23.25" customHeight="1">
      <c r="A1" s="16" t="s">
        <v>37</v>
      </c>
      <c r="B1" s="18" t="s">
        <v>39</v>
      </c>
      <c r="C1" s="18" t="s">
        <v>40</v>
      </c>
      <c r="D1" s="18" t="s">
        <v>62</v>
      </c>
      <c r="E1" s="18" t="s">
        <v>47</v>
      </c>
      <c r="F1" s="18" t="s">
        <v>63</v>
      </c>
    </row>
    <row r="2">
      <c r="A2" s="29">
        <v>46205.0</v>
      </c>
      <c r="B2" s="31" t="s">
        <v>29</v>
      </c>
      <c r="C2" s="31" t="s">
        <v>36</v>
      </c>
      <c r="D2" s="36" t="s">
        <v>54</v>
      </c>
      <c r="E2" s="37" t="s">
        <v>68</v>
      </c>
      <c r="F2" s="38">
        <v>87671.0</v>
      </c>
    </row>
    <row r="3">
      <c r="A3" s="29">
        <v>46226.0</v>
      </c>
      <c r="B3" s="31" t="s">
        <v>29</v>
      </c>
      <c r="C3" s="31" t="s">
        <v>36</v>
      </c>
      <c r="D3" s="36" t="s">
        <v>51</v>
      </c>
      <c r="E3" s="36" t="s">
        <v>69</v>
      </c>
      <c r="F3" s="38">
        <v>200000.0</v>
      </c>
    </row>
    <row r="4">
      <c r="A4" s="29">
        <v>46229.0</v>
      </c>
      <c r="B4" s="31" t="s">
        <v>29</v>
      </c>
      <c r="C4" s="31" t="s">
        <v>70</v>
      </c>
      <c r="D4" s="36" t="s">
        <v>51</v>
      </c>
      <c r="E4" s="31" t="s">
        <v>71</v>
      </c>
      <c r="F4" s="38">
        <v>50000.0</v>
      </c>
    </row>
    <row r="5">
      <c r="A5" s="29">
        <v>46229.0</v>
      </c>
      <c r="B5" s="31" t="s">
        <v>29</v>
      </c>
      <c r="C5" s="31" t="s">
        <v>70</v>
      </c>
      <c r="D5" s="36" t="s">
        <v>51</v>
      </c>
      <c r="E5" s="31" t="s">
        <v>71</v>
      </c>
      <c r="F5" s="38">
        <v>50000.0</v>
      </c>
    </row>
    <row r="6">
      <c r="A6" s="29">
        <v>46232.0</v>
      </c>
      <c r="B6" s="31" t="s">
        <v>29</v>
      </c>
      <c r="C6" s="31" t="s">
        <v>36</v>
      </c>
      <c r="D6" s="36" t="s">
        <v>54</v>
      </c>
      <c r="E6" s="36" t="s">
        <v>73</v>
      </c>
      <c r="F6" s="38">
        <v>174000.0</v>
      </c>
    </row>
    <row r="7">
      <c r="A7" s="29">
        <v>46217.0</v>
      </c>
      <c r="B7" s="31" t="s">
        <v>24</v>
      </c>
      <c r="C7" s="31" t="s">
        <v>70</v>
      </c>
      <c r="D7" s="31" t="s">
        <v>45</v>
      </c>
      <c r="E7" s="31" t="s">
        <v>74</v>
      </c>
      <c r="F7" s="38">
        <v>200000.0</v>
      </c>
    </row>
    <row r="8">
      <c r="A8" s="29">
        <v>46219.0</v>
      </c>
      <c r="B8" s="31" t="s">
        <v>29</v>
      </c>
      <c r="C8" s="31" t="s">
        <v>36</v>
      </c>
      <c r="D8" s="31" t="s">
        <v>45</v>
      </c>
      <c r="E8" s="38" t="s">
        <v>75</v>
      </c>
      <c r="F8" s="38">
        <v>13012.0</v>
      </c>
    </row>
    <row r="9">
      <c r="A9" s="29">
        <v>46236.0</v>
      </c>
      <c r="B9" s="31" t="s">
        <v>29</v>
      </c>
      <c r="C9" s="31" t="s">
        <v>36</v>
      </c>
      <c r="D9" s="31" t="s">
        <v>51</v>
      </c>
      <c r="E9" s="44" t="s">
        <v>77</v>
      </c>
      <c r="F9" s="38">
        <v>730.0</v>
      </c>
    </row>
    <row r="10">
      <c r="A10" s="48">
        <v>46239.0</v>
      </c>
      <c r="B10" s="50" t="s">
        <v>29</v>
      </c>
      <c r="C10" s="50" t="s">
        <v>36</v>
      </c>
      <c r="D10" s="50" t="s">
        <v>54</v>
      </c>
      <c r="E10" s="50" t="s">
        <v>93</v>
      </c>
      <c r="F10" s="53">
        <v>90632.0</v>
      </c>
    </row>
    <row r="11">
      <c r="A11" s="48">
        <v>46240.0</v>
      </c>
      <c r="B11" s="50" t="s">
        <v>29</v>
      </c>
      <c r="C11" s="50" t="s">
        <v>36</v>
      </c>
      <c r="D11" s="50" t="s">
        <v>51</v>
      </c>
      <c r="E11" s="50" t="s">
        <v>102</v>
      </c>
      <c r="F11" s="53">
        <v>300000.0</v>
      </c>
    </row>
    <row r="12">
      <c r="A12" s="29">
        <v>46245.0</v>
      </c>
      <c r="B12" s="31" t="s">
        <v>24</v>
      </c>
      <c r="C12" s="31" t="s">
        <v>70</v>
      </c>
      <c r="D12" s="31" t="s">
        <v>45</v>
      </c>
      <c r="E12" s="31" t="s">
        <v>74</v>
      </c>
      <c r="F12" s="38">
        <v>100000.0</v>
      </c>
    </row>
    <row r="13">
      <c r="A13" s="29">
        <v>46246.0</v>
      </c>
      <c r="B13" s="31" t="s">
        <v>24</v>
      </c>
      <c r="C13" s="31" t="s">
        <v>70</v>
      </c>
      <c r="D13" s="31" t="s">
        <v>45</v>
      </c>
      <c r="E13" s="31" t="s">
        <v>74</v>
      </c>
      <c r="F13" s="38">
        <v>100000.0</v>
      </c>
    </row>
    <row r="14">
      <c r="A14" s="55"/>
      <c r="B14" s="36"/>
      <c r="C14" s="36"/>
      <c r="D14" s="36"/>
      <c r="E14" s="36"/>
      <c r="F14" s="56"/>
    </row>
    <row r="15">
      <c r="A15" s="55"/>
      <c r="B15" s="36"/>
      <c r="C15" s="36"/>
      <c r="D15" s="36"/>
      <c r="E15" s="36"/>
      <c r="F15" s="56"/>
    </row>
    <row r="16">
      <c r="A16" s="55"/>
      <c r="B16" s="36"/>
      <c r="C16" s="36"/>
      <c r="D16" s="36"/>
      <c r="E16" s="36"/>
      <c r="F16" s="56"/>
    </row>
    <row r="17">
      <c r="A17" s="55"/>
      <c r="B17" s="36"/>
      <c r="C17" s="36"/>
      <c r="D17" s="36"/>
      <c r="E17" s="36"/>
      <c r="F17" s="56"/>
    </row>
    <row r="18">
      <c r="A18" s="55"/>
      <c r="B18" s="36"/>
      <c r="C18" s="36"/>
      <c r="D18" s="36"/>
      <c r="E18" s="36"/>
      <c r="F18" s="56"/>
    </row>
    <row r="19">
      <c r="A19" s="55"/>
      <c r="B19" s="36"/>
      <c r="C19" s="36"/>
      <c r="D19" s="36"/>
      <c r="E19" s="36"/>
      <c r="F19" s="56"/>
    </row>
    <row r="20">
      <c r="A20" s="55"/>
      <c r="B20" s="36"/>
      <c r="C20" s="36"/>
      <c r="D20" s="36"/>
      <c r="E20" s="36"/>
      <c r="F20" s="56"/>
    </row>
    <row r="21">
      <c r="A21" s="55"/>
      <c r="B21" s="36"/>
      <c r="C21" s="36"/>
      <c r="D21" s="36"/>
      <c r="E21" s="36"/>
      <c r="F21" s="56"/>
    </row>
    <row r="22">
      <c r="A22" s="55"/>
      <c r="B22" s="36"/>
      <c r="C22" s="36"/>
      <c r="D22" s="36"/>
      <c r="E22" s="36"/>
      <c r="F22" s="56"/>
    </row>
    <row r="23">
      <c r="A23" s="55"/>
      <c r="B23" s="36"/>
      <c r="C23" s="36"/>
      <c r="D23" s="36"/>
      <c r="E23" s="36"/>
      <c r="F23" s="56"/>
    </row>
    <row r="24">
      <c r="A24" s="55"/>
      <c r="B24" s="36"/>
      <c r="C24" s="36"/>
      <c r="D24" s="36"/>
      <c r="E24" s="36"/>
      <c r="F24" s="56"/>
    </row>
    <row r="25">
      <c r="A25" s="55"/>
      <c r="B25" s="36"/>
      <c r="C25" s="36"/>
      <c r="D25" s="36"/>
      <c r="E25" s="36"/>
      <c r="F25" s="56"/>
    </row>
    <row r="26">
      <c r="A26" s="55"/>
      <c r="B26" s="36"/>
      <c r="C26" s="36"/>
      <c r="D26" s="36"/>
      <c r="E26" s="36"/>
      <c r="F26" s="56"/>
    </row>
    <row r="27">
      <c r="A27" s="55"/>
      <c r="B27" s="36"/>
      <c r="C27" s="36"/>
      <c r="D27" s="36"/>
      <c r="E27" s="36"/>
      <c r="F27" s="56"/>
    </row>
    <row r="28">
      <c r="A28" s="55"/>
      <c r="B28" s="36"/>
      <c r="C28" s="36"/>
      <c r="D28" s="36"/>
      <c r="E28" s="36"/>
      <c r="F28" s="56"/>
    </row>
    <row r="29">
      <c r="A29" s="55"/>
      <c r="B29" s="36"/>
      <c r="C29" s="36"/>
      <c r="D29" s="36"/>
      <c r="E29" s="36"/>
      <c r="F29" s="56"/>
    </row>
    <row r="30">
      <c r="A30" s="55"/>
      <c r="B30" s="36"/>
      <c r="C30" s="36"/>
      <c r="D30" s="36"/>
      <c r="E30" s="36"/>
      <c r="F30" s="56"/>
    </row>
    <row r="31">
      <c r="A31" s="55"/>
      <c r="B31" s="36"/>
      <c r="C31" s="36"/>
      <c r="D31" s="36"/>
      <c r="E31" s="36"/>
      <c r="F31" s="56"/>
    </row>
    <row r="32">
      <c r="A32" s="55"/>
      <c r="B32" s="36"/>
      <c r="C32" s="36"/>
      <c r="D32" s="36"/>
      <c r="E32" s="36"/>
      <c r="F32" s="56"/>
    </row>
    <row r="33">
      <c r="A33" s="55"/>
      <c r="B33" s="36"/>
      <c r="C33" s="36"/>
      <c r="D33" s="36"/>
      <c r="E33" s="36"/>
      <c r="F33" s="56"/>
    </row>
    <row r="34">
      <c r="A34" s="55"/>
      <c r="B34" s="36"/>
      <c r="C34" s="36"/>
      <c r="D34" s="36"/>
      <c r="E34" s="36"/>
      <c r="F34" s="56"/>
    </row>
    <row r="35">
      <c r="A35" s="55"/>
      <c r="B35" s="36"/>
      <c r="C35" s="36"/>
      <c r="D35" s="36"/>
      <c r="E35" s="36"/>
      <c r="F35" s="56"/>
    </row>
    <row r="36">
      <c r="A36" s="55"/>
      <c r="B36" s="36"/>
      <c r="C36" s="36"/>
      <c r="D36" s="36"/>
      <c r="E36" s="36"/>
      <c r="F36" s="56"/>
    </row>
    <row r="37">
      <c r="A37" s="55"/>
      <c r="B37" s="36"/>
      <c r="C37" s="36"/>
      <c r="D37" s="36"/>
      <c r="E37" s="36"/>
      <c r="F37" s="56"/>
    </row>
    <row r="38">
      <c r="A38" s="55"/>
      <c r="B38" s="36"/>
      <c r="C38" s="36"/>
      <c r="D38" s="36"/>
      <c r="E38" s="36"/>
      <c r="F38" s="56"/>
    </row>
    <row r="39">
      <c r="A39" s="55"/>
      <c r="B39" s="36"/>
      <c r="C39" s="36"/>
      <c r="D39" s="36"/>
      <c r="E39" s="36"/>
      <c r="F39" s="56"/>
    </row>
    <row r="40">
      <c r="A40" s="55"/>
      <c r="B40" s="36"/>
      <c r="C40" s="36"/>
      <c r="D40" s="36"/>
      <c r="E40" s="36"/>
      <c r="F40" s="56"/>
    </row>
    <row r="41">
      <c r="A41" s="55"/>
      <c r="B41" s="36"/>
      <c r="C41" s="36"/>
      <c r="D41" s="36"/>
      <c r="E41" s="36"/>
      <c r="F41" s="56"/>
    </row>
    <row r="42">
      <c r="A42" s="55"/>
      <c r="B42" s="36"/>
      <c r="C42" s="36"/>
      <c r="D42" s="36"/>
      <c r="E42" s="36"/>
      <c r="F42" s="56"/>
    </row>
    <row r="43">
      <c r="A43" s="55"/>
      <c r="B43" s="36"/>
      <c r="C43" s="36"/>
      <c r="D43" s="36"/>
      <c r="E43" s="36"/>
      <c r="F43" s="56"/>
    </row>
    <row r="44">
      <c r="A44" s="55"/>
      <c r="B44" s="36"/>
      <c r="C44" s="36"/>
      <c r="D44" s="36"/>
      <c r="E44" s="36"/>
      <c r="F44" s="56"/>
    </row>
    <row r="45">
      <c r="A45" s="55"/>
      <c r="B45" s="36"/>
      <c r="C45" s="36"/>
      <c r="D45" s="36"/>
      <c r="E45" s="36"/>
      <c r="F45" s="56"/>
    </row>
    <row r="46">
      <c r="A46" s="55"/>
      <c r="B46" s="36"/>
      <c r="C46" s="36"/>
      <c r="D46" s="36"/>
      <c r="E46" s="36"/>
      <c r="F46" s="56"/>
    </row>
    <row r="47">
      <c r="A47" s="55"/>
      <c r="B47" s="36"/>
      <c r="C47" s="36"/>
      <c r="D47" s="36"/>
      <c r="E47" s="36"/>
      <c r="F47" s="56"/>
    </row>
    <row r="48">
      <c r="A48" s="55"/>
      <c r="B48" s="36"/>
      <c r="C48" s="36"/>
      <c r="D48" s="36"/>
      <c r="E48" s="36"/>
      <c r="F48" s="56"/>
    </row>
    <row r="49">
      <c r="A49" s="55"/>
      <c r="B49" s="36"/>
      <c r="C49" s="36"/>
      <c r="D49" s="36"/>
      <c r="E49" s="36"/>
      <c r="F49" s="56"/>
    </row>
    <row r="50">
      <c r="A50" s="55"/>
      <c r="B50" s="36"/>
      <c r="C50" s="36"/>
      <c r="D50" s="36"/>
      <c r="E50" s="36"/>
      <c r="F50" s="56"/>
    </row>
    <row r="51">
      <c r="A51" s="55"/>
      <c r="B51" s="36"/>
      <c r="C51" s="36"/>
      <c r="D51" s="36"/>
      <c r="E51" s="36"/>
      <c r="F51" s="56"/>
    </row>
    <row r="52">
      <c r="A52" s="55"/>
      <c r="B52" s="36"/>
      <c r="C52" s="36"/>
      <c r="D52" s="36"/>
      <c r="E52" s="36"/>
      <c r="F52" s="56"/>
    </row>
    <row r="53">
      <c r="A53" s="55"/>
      <c r="B53" s="36"/>
      <c r="C53" s="36"/>
      <c r="D53" s="36"/>
      <c r="E53" s="36"/>
      <c r="F53" s="56"/>
    </row>
    <row r="54">
      <c r="A54" s="55"/>
      <c r="B54" s="36"/>
      <c r="C54" s="36"/>
      <c r="D54" s="36"/>
      <c r="E54" s="36"/>
      <c r="F54" s="56"/>
    </row>
    <row r="55">
      <c r="A55" s="55"/>
      <c r="B55" s="36"/>
      <c r="C55" s="36"/>
      <c r="D55" s="36"/>
      <c r="E55" s="36"/>
      <c r="F55" s="56"/>
    </row>
    <row r="56">
      <c r="A56" s="55"/>
      <c r="B56" s="36"/>
      <c r="C56" s="36"/>
      <c r="D56" s="36"/>
      <c r="E56" s="36"/>
      <c r="F56" s="56"/>
    </row>
    <row r="57">
      <c r="A57" s="55"/>
      <c r="B57" s="36"/>
      <c r="C57" s="36"/>
      <c r="D57" s="36"/>
      <c r="E57" s="36"/>
      <c r="F57" s="56"/>
    </row>
    <row r="58">
      <c r="A58" s="55"/>
      <c r="B58" s="36"/>
      <c r="C58" s="36"/>
      <c r="D58" s="36"/>
      <c r="E58" s="36"/>
      <c r="F58" s="56"/>
    </row>
    <row r="59">
      <c r="A59" s="55"/>
      <c r="B59" s="36"/>
      <c r="C59" s="36"/>
      <c r="D59" s="36"/>
      <c r="E59" s="36"/>
      <c r="F59" s="56"/>
    </row>
    <row r="60">
      <c r="A60" s="55"/>
      <c r="B60" s="36"/>
      <c r="C60" s="36"/>
      <c r="D60" s="36"/>
      <c r="E60" s="36"/>
      <c r="F60" s="56"/>
    </row>
    <row r="61">
      <c r="A61" s="55"/>
      <c r="B61" s="36"/>
      <c r="C61" s="36"/>
      <c r="D61" s="36"/>
      <c r="E61" s="36"/>
      <c r="F61" s="56"/>
    </row>
    <row r="62">
      <c r="A62" s="55"/>
      <c r="B62" s="36"/>
      <c r="C62" s="36"/>
      <c r="D62" s="36"/>
      <c r="E62" s="36"/>
      <c r="F62" s="56"/>
    </row>
    <row r="63">
      <c r="A63" s="55"/>
      <c r="B63" s="36"/>
      <c r="C63" s="36"/>
      <c r="D63" s="36"/>
      <c r="E63" s="36"/>
      <c r="F63" s="56"/>
    </row>
    <row r="64">
      <c r="A64" s="55"/>
      <c r="B64" s="36"/>
      <c r="C64" s="36"/>
      <c r="D64" s="36"/>
      <c r="E64" s="36"/>
      <c r="F64" s="56"/>
    </row>
    <row r="65">
      <c r="A65" s="55"/>
      <c r="B65" s="36"/>
      <c r="C65" s="36"/>
      <c r="D65" s="36"/>
      <c r="E65" s="36"/>
      <c r="F65" s="56"/>
    </row>
    <row r="66">
      <c r="A66" s="55"/>
      <c r="B66" s="36"/>
      <c r="C66" s="36"/>
      <c r="D66" s="36"/>
      <c r="E66" s="36"/>
      <c r="F66" s="56"/>
    </row>
    <row r="67">
      <c r="A67" s="55"/>
      <c r="B67" s="36"/>
      <c r="C67" s="36"/>
      <c r="D67" s="36"/>
      <c r="E67" s="36"/>
      <c r="F67" s="56"/>
    </row>
    <row r="68">
      <c r="A68" s="55"/>
      <c r="B68" s="36"/>
      <c r="C68" s="36"/>
      <c r="D68" s="36"/>
      <c r="E68" s="36"/>
      <c r="F68" s="56"/>
    </row>
    <row r="69">
      <c r="A69" s="55"/>
      <c r="B69" s="36"/>
      <c r="C69" s="36"/>
      <c r="D69" s="36"/>
      <c r="E69" s="36"/>
      <c r="F69" s="56"/>
    </row>
    <row r="70">
      <c r="A70" s="55"/>
      <c r="B70" s="36"/>
      <c r="C70" s="36"/>
      <c r="D70" s="36"/>
      <c r="E70" s="36"/>
      <c r="F70" s="56"/>
    </row>
    <row r="71">
      <c r="A71" s="55"/>
      <c r="B71" s="36"/>
      <c r="C71" s="36"/>
      <c r="D71" s="36"/>
      <c r="E71" s="36"/>
      <c r="F71" s="56"/>
    </row>
    <row r="72">
      <c r="A72" s="55"/>
      <c r="B72" s="36"/>
      <c r="C72" s="36"/>
      <c r="D72" s="36"/>
      <c r="E72" s="36"/>
      <c r="F72" s="56"/>
    </row>
    <row r="73">
      <c r="A73" s="55"/>
      <c r="B73" s="36"/>
      <c r="C73" s="36"/>
      <c r="D73" s="36"/>
      <c r="E73" s="36"/>
      <c r="F73" s="56"/>
    </row>
    <row r="74">
      <c r="A74" s="55"/>
      <c r="B74" s="36"/>
      <c r="C74" s="36"/>
      <c r="D74" s="36"/>
      <c r="E74" s="36"/>
      <c r="F74" s="56"/>
    </row>
    <row r="75">
      <c r="A75" s="55"/>
      <c r="B75" s="36"/>
      <c r="C75" s="36"/>
      <c r="D75" s="36"/>
      <c r="E75" s="36"/>
      <c r="F75" s="56"/>
    </row>
    <row r="76">
      <c r="A76" s="55"/>
      <c r="B76" s="36"/>
      <c r="C76" s="36"/>
      <c r="D76" s="36"/>
      <c r="E76" s="36"/>
      <c r="F76" s="56"/>
    </row>
    <row r="77">
      <c r="A77" s="55"/>
      <c r="B77" s="36"/>
      <c r="C77" s="36"/>
      <c r="D77" s="36"/>
      <c r="E77" s="36"/>
      <c r="F77" s="56"/>
    </row>
    <row r="78">
      <c r="A78" s="55"/>
      <c r="B78" s="36"/>
      <c r="C78" s="36"/>
      <c r="D78" s="36"/>
      <c r="E78" s="36"/>
      <c r="F78" s="56"/>
    </row>
    <row r="79">
      <c r="A79" s="55"/>
      <c r="B79" s="36"/>
      <c r="C79" s="36"/>
      <c r="D79" s="36"/>
      <c r="E79" s="36"/>
      <c r="F79" s="56"/>
    </row>
    <row r="80">
      <c r="A80" s="55"/>
      <c r="B80" s="36"/>
      <c r="C80" s="36"/>
      <c r="D80" s="36"/>
      <c r="E80" s="36"/>
      <c r="F80" s="56"/>
    </row>
    <row r="81">
      <c r="A81" s="55"/>
      <c r="B81" s="36"/>
      <c r="C81" s="36"/>
      <c r="D81" s="36"/>
      <c r="E81" s="36"/>
      <c r="F81" s="56"/>
    </row>
    <row r="82">
      <c r="A82" s="55"/>
      <c r="B82" s="36"/>
      <c r="C82" s="36"/>
      <c r="D82" s="36"/>
      <c r="E82" s="36"/>
      <c r="F82" s="56"/>
    </row>
    <row r="83">
      <c r="A83" s="55"/>
      <c r="B83" s="36"/>
      <c r="C83" s="36"/>
      <c r="D83" s="36"/>
      <c r="E83" s="36"/>
      <c r="F83" s="56"/>
    </row>
    <row r="84">
      <c r="A84" s="55"/>
      <c r="B84" s="36"/>
      <c r="C84" s="36"/>
      <c r="D84" s="36"/>
      <c r="E84" s="36"/>
      <c r="F84" s="56"/>
    </row>
    <row r="85">
      <c r="A85" s="55"/>
      <c r="B85" s="36"/>
      <c r="C85" s="36"/>
      <c r="D85" s="36"/>
      <c r="E85" s="36"/>
      <c r="F85" s="56"/>
    </row>
    <row r="86">
      <c r="A86" s="55"/>
      <c r="B86" s="36"/>
      <c r="C86" s="36"/>
      <c r="D86" s="36"/>
      <c r="E86" s="36"/>
      <c r="F86" s="56"/>
    </row>
    <row r="87">
      <c r="A87" s="55"/>
      <c r="B87" s="36"/>
      <c r="C87" s="36"/>
      <c r="D87" s="36"/>
      <c r="E87" s="36"/>
      <c r="F87" s="56"/>
    </row>
    <row r="88">
      <c r="A88" s="55"/>
      <c r="B88" s="36"/>
      <c r="C88" s="36"/>
      <c r="D88" s="36"/>
      <c r="E88" s="36"/>
      <c r="F88" s="56"/>
    </row>
    <row r="89">
      <c r="A89" s="55"/>
      <c r="B89" s="36"/>
      <c r="C89" s="36"/>
      <c r="D89" s="36"/>
      <c r="E89" s="36"/>
      <c r="F89" s="56"/>
    </row>
    <row r="90">
      <c r="A90" s="55"/>
      <c r="B90" s="36"/>
      <c r="C90" s="36"/>
      <c r="D90" s="36"/>
      <c r="E90" s="36"/>
      <c r="F90" s="56"/>
    </row>
    <row r="91">
      <c r="A91" s="55"/>
      <c r="B91" s="36"/>
      <c r="C91" s="36"/>
      <c r="D91" s="36"/>
      <c r="E91" s="36"/>
      <c r="F91" s="56"/>
    </row>
    <row r="92">
      <c r="A92" s="55"/>
      <c r="B92" s="36"/>
      <c r="C92" s="36"/>
      <c r="D92" s="36"/>
      <c r="E92" s="36"/>
      <c r="F92" s="56"/>
    </row>
    <row r="93">
      <c r="A93" s="55"/>
      <c r="B93" s="36"/>
      <c r="C93" s="36"/>
      <c r="D93" s="36"/>
      <c r="E93" s="36"/>
      <c r="F93" s="56"/>
    </row>
    <row r="94">
      <c r="A94" s="55"/>
      <c r="B94" s="36"/>
      <c r="C94" s="36"/>
      <c r="D94" s="36"/>
      <c r="E94" s="36"/>
      <c r="F94" s="56"/>
    </row>
    <row r="95">
      <c r="A95" s="55"/>
      <c r="B95" s="36"/>
      <c r="C95" s="36"/>
      <c r="D95" s="36"/>
      <c r="E95" s="36"/>
      <c r="F95" s="56"/>
    </row>
    <row r="96">
      <c r="A96" s="55"/>
      <c r="B96" s="36"/>
      <c r="C96" s="36"/>
      <c r="D96" s="36"/>
      <c r="E96" s="36"/>
      <c r="F96" s="56"/>
    </row>
    <row r="97">
      <c r="A97" s="55"/>
      <c r="B97" s="36"/>
      <c r="C97" s="36"/>
      <c r="D97" s="36"/>
      <c r="E97" s="36"/>
      <c r="F97" s="56"/>
    </row>
    <row r="98">
      <c r="A98" s="55"/>
      <c r="B98" s="36"/>
      <c r="C98" s="36"/>
      <c r="D98" s="36"/>
      <c r="E98" s="36"/>
      <c r="F98" s="56"/>
    </row>
    <row r="99">
      <c r="A99" s="55"/>
      <c r="B99" s="36"/>
      <c r="C99" s="36"/>
      <c r="D99" s="36"/>
      <c r="E99" s="36"/>
      <c r="F99" s="56"/>
    </row>
    <row r="100">
      <c r="A100" s="55"/>
      <c r="B100" s="36"/>
      <c r="C100" s="36"/>
      <c r="D100" s="36"/>
      <c r="E100" s="36"/>
      <c r="F100" s="56"/>
    </row>
    <row r="101">
      <c r="A101" s="55"/>
      <c r="B101" s="36"/>
      <c r="C101" s="36"/>
      <c r="D101" s="36"/>
      <c r="E101" s="36"/>
      <c r="F101" s="56"/>
    </row>
    <row r="102">
      <c r="A102" s="55"/>
      <c r="B102" s="36"/>
      <c r="C102" s="36"/>
      <c r="D102" s="36"/>
      <c r="E102" s="36"/>
      <c r="F102" s="56"/>
    </row>
    <row r="103">
      <c r="A103" s="55"/>
      <c r="B103" s="36"/>
      <c r="C103" s="36"/>
      <c r="D103" s="36"/>
      <c r="E103" s="36"/>
      <c r="F103" s="56"/>
    </row>
    <row r="104">
      <c r="A104" s="55"/>
      <c r="B104" s="36"/>
      <c r="C104" s="36"/>
      <c r="D104" s="36"/>
      <c r="E104" s="36"/>
      <c r="F104" s="56"/>
    </row>
    <row r="105">
      <c r="A105" s="55"/>
      <c r="B105" s="36"/>
      <c r="C105" s="36"/>
      <c r="D105" s="36"/>
      <c r="E105" s="36"/>
      <c r="F105" s="56"/>
    </row>
    <row r="106">
      <c r="A106" s="55"/>
      <c r="B106" s="36"/>
      <c r="C106" s="36"/>
      <c r="D106" s="36"/>
      <c r="E106" s="36"/>
      <c r="F106" s="56"/>
    </row>
    <row r="107">
      <c r="A107" s="55"/>
      <c r="B107" s="36"/>
      <c r="C107" s="36"/>
      <c r="D107" s="36"/>
      <c r="E107" s="36"/>
      <c r="F107" s="56"/>
    </row>
    <row r="108">
      <c r="A108" s="55"/>
      <c r="B108" s="36"/>
      <c r="C108" s="36"/>
      <c r="D108" s="36"/>
      <c r="E108" s="36"/>
      <c r="F108" s="56"/>
    </row>
    <row r="109">
      <c r="A109" s="55"/>
      <c r="B109" s="36"/>
      <c r="C109" s="36"/>
      <c r="D109" s="36"/>
      <c r="E109" s="36"/>
      <c r="F109" s="56"/>
    </row>
    <row r="110">
      <c r="A110" s="55"/>
      <c r="B110" s="36"/>
      <c r="C110" s="36"/>
      <c r="D110" s="36"/>
      <c r="E110" s="36"/>
      <c r="F110" s="56"/>
    </row>
    <row r="111">
      <c r="A111" s="55"/>
      <c r="B111" s="36"/>
      <c r="C111" s="36"/>
      <c r="D111" s="36"/>
      <c r="E111" s="36"/>
      <c r="F111" s="56"/>
    </row>
    <row r="112">
      <c r="A112" s="55"/>
      <c r="B112" s="36"/>
      <c r="C112" s="36"/>
      <c r="D112" s="36"/>
      <c r="E112" s="36"/>
      <c r="F112" s="56"/>
    </row>
    <row r="113">
      <c r="A113" s="55"/>
      <c r="B113" s="36"/>
      <c r="C113" s="36"/>
      <c r="D113" s="36"/>
      <c r="E113" s="36"/>
      <c r="F113" s="56"/>
    </row>
    <row r="114">
      <c r="A114" s="55"/>
      <c r="B114" s="36"/>
      <c r="C114" s="36"/>
      <c r="D114" s="36"/>
      <c r="E114" s="36"/>
      <c r="F114" s="56"/>
    </row>
    <row r="115">
      <c r="A115" s="55"/>
      <c r="B115" s="36"/>
      <c r="C115" s="36"/>
      <c r="D115" s="36"/>
      <c r="E115" s="36"/>
      <c r="F115" s="56"/>
    </row>
    <row r="116">
      <c r="A116" s="55"/>
      <c r="B116" s="36"/>
      <c r="C116" s="36"/>
      <c r="D116" s="36"/>
      <c r="E116" s="36"/>
      <c r="F116" s="56"/>
    </row>
    <row r="117">
      <c r="A117" s="55"/>
      <c r="B117" s="36"/>
      <c r="C117" s="36"/>
      <c r="D117" s="36"/>
      <c r="E117" s="36"/>
      <c r="F117" s="56"/>
    </row>
    <row r="118">
      <c r="A118" s="55"/>
      <c r="B118" s="36"/>
      <c r="C118" s="36"/>
      <c r="D118" s="36"/>
      <c r="E118" s="36"/>
      <c r="F118" s="56"/>
    </row>
    <row r="119">
      <c r="A119" s="55"/>
      <c r="B119" s="36"/>
      <c r="C119" s="36"/>
      <c r="D119" s="36"/>
      <c r="E119" s="36"/>
      <c r="F119" s="56"/>
    </row>
    <row r="120">
      <c r="A120" s="55"/>
      <c r="B120" s="36"/>
      <c r="C120" s="36"/>
      <c r="D120" s="36"/>
      <c r="E120" s="36"/>
      <c r="F120" s="56"/>
    </row>
    <row r="121">
      <c r="A121" s="55"/>
      <c r="B121" s="36"/>
      <c r="C121" s="36"/>
      <c r="D121" s="36"/>
      <c r="E121" s="36"/>
      <c r="F121" s="56"/>
    </row>
    <row r="122">
      <c r="A122" s="55"/>
      <c r="B122" s="36"/>
      <c r="C122" s="36"/>
      <c r="D122" s="36"/>
      <c r="E122" s="36"/>
      <c r="F122" s="56"/>
    </row>
    <row r="123">
      <c r="A123" s="55"/>
      <c r="B123" s="36"/>
      <c r="C123" s="36"/>
      <c r="D123" s="36"/>
      <c r="E123" s="36"/>
      <c r="F123" s="56"/>
    </row>
    <row r="124">
      <c r="A124" s="55"/>
      <c r="B124" s="36"/>
      <c r="C124" s="36"/>
      <c r="D124" s="36"/>
      <c r="E124" s="36"/>
      <c r="F124" s="56"/>
    </row>
    <row r="125">
      <c r="A125" s="55"/>
      <c r="B125" s="36"/>
      <c r="C125" s="36"/>
      <c r="D125" s="36"/>
      <c r="E125" s="36"/>
      <c r="F125" s="56"/>
    </row>
    <row r="126">
      <c r="A126" s="55"/>
      <c r="B126" s="36"/>
      <c r="C126" s="36"/>
      <c r="D126" s="36"/>
      <c r="E126" s="36"/>
      <c r="F126" s="56"/>
    </row>
    <row r="127">
      <c r="A127" s="55"/>
      <c r="B127" s="36"/>
      <c r="C127" s="36"/>
      <c r="D127" s="36"/>
      <c r="E127" s="36"/>
      <c r="F127" s="56"/>
    </row>
    <row r="128">
      <c r="A128" s="55"/>
      <c r="B128" s="36"/>
      <c r="C128" s="36"/>
      <c r="D128" s="36"/>
      <c r="E128" s="36"/>
      <c r="F128" s="56"/>
    </row>
    <row r="129">
      <c r="A129" s="55"/>
      <c r="B129" s="36"/>
      <c r="C129" s="36"/>
      <c r="D129" s="36"/>
      <c r="E129" s="36"/>
      <c r="F129" s="56"/>
    </row>
    <row r="130">
      <c r="A130" s="55"/>
      <c r="B130" s="36"/>
      <c r="C130" s="36"/>
      <c r="D130" s="36"/>
      <c r="E130" s="36"/>
      <c r="F130" s="56"/>
    </row>
    <row r="131">
      <c r="A131" s="55"/>
      <c r="B131" s="36"/>
      <c r="C131" s="36"/>
      <c r="D131" s="36"/>
      <c r="E131" s="36"/>
      <c r="F131" s="56"/>
    </row>
    <row r="132">
      <c r="A132" s="55"/>
      <c r="B132" s="36"/>
      <c r="C132" s="36"/>
      <c r="D132" s="36"/>
      <c r="E132" s="36"/>
      <c r="F132" s="56"/>
    </row>
    <row r="133">
      <c r="A133" s="55"/>
      <c r="B133" s="36"/>
      <c r="C133" s="36"/>
      <c r="D133" s="36"/>
      <c r="E133" s="36"/>
      <c r="F133" s="56"/>
    </row>
    <row r="134">
      <c r="A134" s="55"/>
      <c r="B134" s="36"/>
      <c r="C134" s="36"/>
      <c r="D134" s="36"/>
      <c r="E134" s="36"/>
      <c r="F134" s="56"/>
    </row>
    <row r="135">
      <c r="A135" s="55"/>
      <c r="B135" s="36"/>
      <c r="C135" s="36"/>
      <c r="D135" s="36"/>
      <c r="E135" s="36"/>
      <c r="F135" s="56"/>
    </row>
    <row r="136">
      <c r="A136" s="55"/>
      <c r="B136" s="36"/>
      <c r="C136" s="36"/>
      <c r="D136" s="36"/>
      <c r="E136" s="36"/>
      <c r="F136" s="56"/>
    </row>
    <row r="137">
      <c r="A137" s="55"/>
      <c r="B137" s="36"/>
      <c r="C137" s="36"/>
      <c r="D137" s="36"/>
      <c r="E137" s="36"/>
      <c r="F137" s="56"/>
    </row>
    <row r="138">
      <c r="A138" s="55"/>
      <c r="B138" s="36"/>
      <c r="C138" s="36"/>
      <c r="D138" s="36"/>
      <c r="E138" s="36"/>
      <c r="F138" s="56"/>
    </row>
    <row r="139">
      <c r="A139" s="55"/>
      <c r="B139" s="36"/>
      <c r="C139" s="36"/>
      <c r="D139" s="36"/>
      <c r="E139" s="36"/>
      <c r="F139" s="56"/>
    </row>
    <row r="140">
      <c r="A140" s="55"/>
      <c r="B140" s="36"/>
      <c r="C140" s="36"/>
      <c r="D140" s="36"/>
      <c r="E140" s="36"/>
      <c r="F140" s="56"/>
    </row>
    <row r="141">
      <c r="A141" s="55"/>
      <c r="B141" s="36"/>
      <c r="C141" s="36"/>
      <c r="D141" s="36"/>
      <c r="E141" s="36"/>
      <c r="F141" s="56"/>
    </row>
    <row r="142">
      <c r="A142" s="55"/>
      <c r="B142" s="36"/>
      <c r="C142" s="36"/>
      <c r="D142" s="36"/>
      <c r="E142" s="36"/>
      <c r="F142" s="56"/>
    </row>
    <row r="143">
      <c r="A143" s="55"/>
      <c r="B143" s="36"/>
      <c r="C143" s="36"/>
      <c r="D143" s="36"/>
      <c r="E143" s="36"/>
      <c r="F143" s="56"/>
    </row>
    <row r="144">
      <c r="A144" s="55"/>
      <c r="B144" s="36"/>
      <c r="C144" s="36"/>
      <c r="D144" s="36"/>
      <c r="E144" s="36"/>
      <c r="F144" s="56"/>
    </row>
    <row r="145">
      <c r="A145" s="55"/>
      <c r="B145" s="36"/>
      <c r="C145" s="36"/>
      <c r="D145" s="36"/>
      <c r="E145" s="36"/>
      <c r="F145" s="56"/>
    </row>
    <row r="146">
      <c r="A146" s="55"/>
      <c r="B146" s="36"/>
      <c r="C146" s="36"/>
      <c r="D146" s="36"/>
      <c r="E146" s="36"/>
      <c r="F146" s="56"/>
    </row>
    <row r="147">
      <c r="A147" s="55"/>
      <c r="B147" s="36"/>
      <c r="C147" s="36"/>
      <c r="D147" s="36"/>
      <c r="E147" s="36"/>
      <c r="F147" s="56"/>
    </row>
    <row r="148">
      <c r="A148" s="55"/>
      <c r="B148" s="36"/>
      <c r="C148" s="36"/>
      <c r="D148" s="36"/>
      <c r="E148" s="36"/>
      <c r="F148" s="56"/>
    </row>
    <row r="149">
      <c r="A149" s="55"/>
      <c r="B149" s="36"/>
      <c r="C149" s="36"/>
      <c r="D149" s="36"/>
      <c r="E149" s="36"/>
      <c r="F149" s="56"/>
    </row>
    <row r="150">
      <c r="A150" s="55"/>
      <c r="B150" s="36"/>
      <c r="C150" s="36"/>
      <c r="D150" s="36"/>
      <c r="E150" s="36"/>
      <c r="F150" s="56"/>
    </row>
    <row r="151">
      <c r="A151" s="55"/>
      <c r="B151" s="36"/>
      <c r="C151" s="36"/>
      <c r="D151" s="36"/>
      <c r="E151" s="36"/>
      <c r="F151" s="56"/>
    </row>
    <row r="152">
      <c r="A152" s="55"/>
      <c r="B152" s="36"/>
      <c r="C152" s="36"/>
      <c r="D152" s="36"/>
      <c r="E152" s="36"/>
      <c r="F152" s="56"/>
    </row>
    <row r="153">
      <c r="A153" s="55"/>
      <c r="B153" s="36"/>
      <c r="C153" s="36"/>
      <c r="D153" s="36"/>
      <c r="E153" s="36"/>
      <c r="F153" s="56"/>
    </row>
    <row r="154">
      <c r="A154" s="55"/>
      <c r="B154" s="36"/>
      <c r="C154" s="36"/>
      <c r="D154" s="36"/>
      <c r="E154" s="36"/>
      <c r="F154" s="56"/>
    </row>
    <row r="155">
      <c r="A155" s="55"/>
      <c r="B155" s="36"/>
      <c r="C155" s="36"/>
      <c r="D155" s="36"/>
      <c r="E155" s="36"/>
      <c r="F155" s="56"/>
    </row>
    <row r="156">
      <c r="A156" s="55"/>
      <c r="B156" s="36"/>
      <c r="C156" s="36"/>
      <c r="D156" s="36"/>
      <c r="E156" s="36"/>
      <c r="F156" s="56"/>
    </row>
    <row r="157">
      <c r="A157" s="55"/>
      <c r="B157" s="36"/>
      <c r="C157" s="36"/>
      <c r="D157" s="36"/>
      <c r="E157" s="36"/>
      <c r="F157" s="56"/>
    </row>
    <row r="158">
      <c r="A158" s="55"/>
      <c r="B158" s="36"/>
      <c r="C158" s="36"/>
      <c r="D158" s="36"/>
      <c r="E158" s="36"/>
      <c r="F158" s="56"/>
    </row>
    <row r="159">
      <c r="A159" s="55"/>
      <c r="B159" s="36"/>
      <c r="C159" s="36"/>
      <c r="D159" s="36"/>
      <c r="E159" s="36"/>
      <c r="F159" s="56"/>
    </row>
    <row r="160">
      <c r="A160" s="55"/>
      <c r="B160" s="36"/>
      <c r="C160" s="36"/>
      <c r="D160" s="36"/>
      <c r="E160" s="36"/>
      <c r="F160" s="56"/>
    </row>
    <row r="161">
      <c r="A161" s="55"/>
      <c r="B161" s="36"/>
      <c r="C161" s="36"/>
      <c r="D161" s="36"/>
      <c r="E161" s="36"/>
      <c r="F161" s="56"/>
    </row>
    <row r="162">
      <c r="A162" s="55"/>
      <c r="B162" s="36"/>
      <c r="C162" s="36"/>
      <c r="D162" s="36"/>
      <c r="E162" s="36"/>
      <c r="F162" s="56"/>
    </row>
    <row r="163">
      <c r="A163" s="55"/>
      <c r="B163" s="36"/>
      <c r="C163" s="36"/>
      <c r="D163" s="36"/>
      <c r="E163" s="36"/>
      <c r="F163" s="56"/>
    </row>
    <row r="164">
      <c r="A164" s="55"/>
      <c r="B164" s="36"/>
      <c r="C164" s="36"/>
      <c r="D164" s="36"/>
      <c r="E164" s="36"/>
      <c r="F164" s="56"/>
    </row>
    <row r="165">
      <c r="A165" s="55"/>
      <c r="B165" s="36"/>
      <c r="C165" s="36"/>
      <c r="D165" s="36"/>
      <c r="E165" s="36"/>
      <c r="F165" s="56"/>
    </row>
    <row r="166">
      <c r="A166" s="55"/>
      <c r="B166" s="36"/>
      <c r="C166" s="36"/>
      <c r="D166" s="36"/>
      <c r="E166" s="36"/>
      <c r="F166" s="56"/>
    </row>
    <row r="167">
      <c r="A167" s="55"/>
      <c r="B167" s="36"/>
      <c r="C167" s="36"/>
      <c r="D167" s="36"/>
      <c r="E167" s="36"/>
      <c r="F167" s="56"/>
    </row>
    <row r="168">
      <c r="A168" s="55"/>
      <c r="B168" s="36"/>
      <c r="C168" s="36"/>
      <c r="D168" s="36"/>
      <c r="E168" s="36"/>
      <c r="F168" s="56"/>
    </row>
    <row r="169">
      <c r="A169" s="55"/>
      <c r="B169" s="36"/>
      <c r="C169" s="36"/>
      <c r="D169" s="36"/>
      <c r="E169" s="36"/>
      <c r="F169" s="56"/>
    </row>
    <row r="170">
      <c r="A170" s="55"/>
      <c r="B170" s="36"/>
      <c r="C170" s="36"/>
      <c r="D170" s="36"/>
      <c r="E170" s="36"/>
      <c r="F170" s="56"/>
    </row>
    <row r="171">
      <c r="A171" s="55"/>
      <c r="B171" s="36"/>
      <c r="C171" s="36"/>
      <c r="D171" s="36"/>
      <c r="E171" s="36"/>
      <c r="F171" s="56"/>
    </row>
    <row r="172">
      <c r="A172" s="55"/>
      <c r="B172" s="36"/>
      <c r="C172" s="36"/>
      <c r="D172" s="36"/>
      <c r="E172" s="36"/>
      <c r="F172" s="56"/>
    </row>
    <row r="173">
      <c r="A173" s="55"/>
      <c r="B173" s="36"/>
      <c r="C173" s="36"/>
      <c r="D173" s="36"/>
      <c r="E173" s="36"/>
      <c r="F173" s="56"/>
    </row>
    <row r="174">
      <c r="A174" s="55"/>
      <c r="B174" s="36"/>
      <c r="C174" s="36"/>
      <c r="D174" s="36"/>
      <c r="E174" s="36"/>
      <c r="F174" s="56"/>
    </row>
    <row r="175">
      <c r="A175" s="55"/>
      <c r="B175" s="36"/>
      <c r="C175" s="36"/>
      <c r="D175" s="36"/>
      <c r="E175" s="36"/>
      <c r="F175" s="56"/>
    </row>
    <row r="176">
      <c r="A176" s="55"/>
      <c r="B176" s="36"/>
      <c r="C176" s="36"/>
      <c r="D176" s="36"/>
      <c r="E176" s="36"/>
      <c r="F176" s="56"/>
    </row>
    <row r="177">
      <c r="A177" s="55"/>
      <c r="B177" s="36"/>
      <c r="C177" s="36"/>
      <c r="D177" s="36"/>
      <c r="E177" s="36"/>
      <c r="F177" s="56"/>
    </row>
    <row r="178">
      <c r="A178" s="55"/>
      <c r="B178" s="36"/>
      <c r="C178" s="36"/>
      <c r="D178" s="36"/>
      <c r="E178" s="36"/>
      <c r="F178" s="56"/>
    </row>
    <row r="179">
      <c r="A179" s="55"/>
      <c r="B179" s="36"/>
      <c r="C179" s="36"/>
      <c r="D179" s="36"/>
      <c r="E179" s="36"/>
      <c r="F179" s="56"/>
    </row>
    <row r="180">
      <c r="A180" s="55"/>
      <c r="B180" s="36"/>
      <c r="C180" s="36"/>
      <c r="D180" s="36"/>
      <c r="E180" s="36"/>
      <c r="F180" s="56"/>
    </row>
    <row r="181">
      <c r="A181" s="55"/>
      <c r="B181" s="36"/>
      <c r="C181" s="36"/>
      <c r="D181" s="36"/>
      <c r="E181" s="36"/>
      <c r="F181" s="56"/>
    </row>
    <row r="182">
      <c r="A182" s="55"/>
      <c r="B182" s="36"/>
      <c r="C182" s="36"/>
      <c r="D182" s="36"/>
      <c r="E182" s="36"/>
      <c r="F182" s="56"/>
    </row>
    <row r="183">
      <c r="A183" s="55"/>
      <c r="B183" s="36"/>
      <c r="C183" s="36"/>
      <c r="D183" s="36"/>
      <c r="E183" s="36"/>
      <c r="F183" s="56"/>
    </row>
    <row r="184">
      <c r="A184" s="55"/>
      <c r="B184" s="36"/>
      <c r="C184" s="36"/>
      <c r="D184" s="36"/>
      <c r="E184" s="36"/>
      <c r="F184" s="56"/>
    </row>
    <row r="185">
      <c r="A185" s="55"/>
      <c r="B185" s="36"/>
      <c r="C185" s="36"/>
      <c r="D185" s="36"/>
      <c r="E185" s="36"/>
      <c r="F185" s="56"/>
    </row>
    <row r="186">
      <c r="A186" s="55"/>
      <c r="B186" s="36"/>
      <c r="C186" s="36"/>
      <c r="D186" s="36"/>
      <c r="E186" s="36"/>
      <c r="F186" s="56"/>
    </row>
    <row r="187">
      <c r="A187" s="55"/>
      <c r="B187" s="36"/>
      <c r="C187" s="36"/>
      <c r="D187" s="36"/>
      <c r="E187" s="36"/>
      <c r="F187" s="56"/>
    </row>
    <row r="188">
      <c r="A188" s="55"/>
      <c r="B188" s="36"/>
      <c r="C188" s="36"/>
      <c r="D188" s="36"/>
      <c r="E188" s="36"/>
      <c r="F188" s="56"/>
    </row>
    <row r="189">
      <c r="A189" s="55"/>
      <c r="B189" s="36"/>
      <c r="C189" s="36"/>
      <c r="D189" s="36"/>
      <c r="E189" s="36"/>
      <c r="F189" s="56"/>
    </row>
    <row r="190">
      <c r="A190" s="55"/>
      <c r="B190" s="36"/>
      <c r="C190" s="36"/>
      <c r="D190" s="36"/>
      <c r="E190" s="36"/>
      <c r="F190" s="56"/>
    </row>
    <row r="191">
      <c r="A191" s="55"/>
      <c r="B191" s="36"/>
      <c r="C191" s="36"/>
      <c r="D191" s="36"/>
      <c r="E191" s="36"/>
      <c r="F191" s="56"/>
    </row>
    <row r="192">
      <c r="A192" s="55"/>
      <c r="B192" s="36"/>
      <c r="C192" s="36"/>
      <c r="D192" s="36"/>
      <c r="E192" s="36"/>
      <c r="F192" s="56"/>
    </row>
    <row r="193">
      <c r="A193" s="55"/>
      <c r="B193" s="36"/>
      <c r="C193" s="36"/>
      <c r="D193" s="36"/>
      <c r="E193" s="36"/>
      <c r="F193" s="56"/>
    </row>
    <row r="194">
      <c r="A194" s="55"/>
      <c r="B194" s="36"/>
      <c r="C194" s="36"/>
      <c r="D194" s="36"/>
      <c r="E194" s="36"/>
      <c r="F194" s="56"/>
    </row>
    <row r="195">
      <c r="A195" s="55"/>
      <c r="B195" s="36"/>
      <c r="C195" s="36"/>
      <c r="D195" s="36"/>
      <c r="E195" s="36"/>
      <c r="F195" s="56"/>
    </row>
    <row r="196">
      <c r="A196" s="55"/>
      <c r="B196" s="36"/>
      <c r="C196" s="36"/>
      <c r="D196" s="36"/>
      <c r="E196" s="36"/>
      <c r="F196" s="56"/>
    </row>
    <row r="197">
      <c r="A197" s="55"/>
      <c r="B197" s="36"/>
      <c r="C197" s="36"/>
      <c r="D197" s="36"/>
      <c r="E197" s="36"/>
      <c r="F197" s="56"/>
    </row>
    <row r="198">
      <c r="A198" s="55"/>
      <c r="B198" s="36"/>
      <c r="C198" s="36"/>
      <c r="D198" s="36"/>
      <c r="E198" s="36"/>
      <c r="F198" s="56"/>
    </row>
    <row r="199">
      <c r="A199" s="55"/>
      <c r="B199" s="36"/>
      <c r="C199" s="36"/>
      <c r="D199" s="36"/>
      <c r="E199" s="36"/>
      <c r="F199" s="56"/>
    </row>
    <row r="200">
      <c r="A200" s="55"/>
      <c r="B200" s="36"/>
      <c r="C200" s="36"/>
      <c r="D200" s="36"/>
      <c r="E200" s="36"/>
      <c r="F200" s="56"/>
    </row>
    <row r="201">
      <c r="A201" s="55"/>
      <c r="B201" s="36"/>
      <c r="C201" s="36"/>
      <c r="D201" s="36"/>
      <c r="E201" s="36"/>
      <c r="F201" s="56"/>
    </row>
    <row r="202">
      <c r="A202" s="55"/>
      <c r="B202" s="36"/>
      <c r="C202" s="36"/>
      <c r="D202" s="36"/>
      <c r="E202" s="36"/>
      <c r="F202" s="56"/>
    </row>
    <row r="203">
      <c r="A203" s="55"/>
      <c r="B203" s="36"/>
      <c r="C203" s="36"/>
      <c r="D203" s="36"/>
      <c r="E203" s="36"/>
      <c r="F203" s="56"/>
    </row>
    <row r="204">
      <c r="A204" s="55"/>
      <c r="B204" s="36"/>
      <c r="C204" s="36"/>
      <c r="D204" s="36"/>
      <c r="E204" s="36"/>
      <c r="F204" s="56"/>
    </row>
    <row r="205">
      <c r="A205" s="55"/>
      <c r="B205" s="36"/>
      <c r="C205" s="36"/>
      <c r="D205" s="36"/>
      <c r="E205" s="36"/>
      <c r="F205" s="56"/>
    </row>
    <row r="206">
      <c r="A206" s="55"/>
      <c r="B206" s="36"/>
      <c r="C206" s="36"/>
      <c r="D206" s="36"/>
      <c r="E206" s="36"/>
      <c r="F206" s="56"/>
    </row>
    <row r="207">
      <c r="A207" s="55"/>
      <c r="B207" s="36"/>
      <c r="C207" s="36"/>
      <c r="D207" s="36"/>
      <c r="E207" s="36"/>
      <c r="F207" s="56"/>
    </row>
    <row r="208">
      <c r="A208" s="55"/>
      <c r="B208" s="36"/>
      <c r="C208" s="36"/>
      <c r="D208" s="36"/>
      <c r="E208" s="36"/>
      <c r="F208" s="56"/>
    </row>
    <row r="209">
      <c r="A209" s="55"/>
      <c r="B209" s="36"/>
      <c r="C209" s="36"/>
      <c r="D209" s="36"/>
      <c r="E209" s="36"/>
      <c r="F209" s="56"/>
    </row>
    <row r="210">
      <c r="A210" s="55"/>
      <c r="B210" s="36"/>
      <c r="C210" s="36"/>
      <c r="D210" s="36"/>
      <c r="E210" s="36"/>
      <c r="F210" s="56"/>
    </row>
    <row r="211">
      <c r="A211" s="55"/>
      <c r="B211" s="36"/>
      <c r="C211" s="36"/>
      <c r="D211" s="36"/>
      <c r="E211" s="36"/>
      <c r="F211" s="56"/>
    </row>
    <row r="212">
      <c r="A212" s="55"/>
      <c r="B212" s="36"/>
      <c r="C212" s="36"/>
      <c r="D212" s="36"/>
      <c r="E212" s="36"/>
      <c r="F212" s="56"/>
    </row>
    <row r="213">
      <c r="A213" s="55"/>
      <c r="B213" s="36"/>
      <c r="C213" s="36"/>
      <c r="D213" s="36"/>
      <c r="E213" s="36"/>
      <c r="F213" s="56"/>
    </row>
    <row r="214">
      <c r="A214" s="55"/>
      <c r="B214" s="36"/>
      <c r="C214" s="36"/>
      <c r="D214" s="36"/>
      <c r="E214" s="36"/>
      <c r="F214" s="56"/>
    </row>
    <row r="215">
      <c r="A215" s="55"/>
      <c r="B215" s="36"/>
      <c r="C215" s="36"/>
      <c r="D215" s="36"/>
      <c r="E215" s="36"/>
      <c r="F215" s="56"/>
    </row>
    <row r="216">
      <c r="A216" s="55"/>
      <c r="B216" s="36"/>
      <c r="C216" s="36"/>
      <c r="D216" s="36"/>
      <c r="E216" s="36"/>
      <c r="F216" s="56"/>
    </row>
    <row r="217">
      <c r="A217" s="55"/>
      <c r="B217" s="36"/>
      <c r="C217" s="36"/>
      <c r="D217" s="36"/>
      <c r="E217" s="36"/>
      <c r="F217" s="56"/>
    </row>
    <row r="218">
      <c r="A218" s="55"/>
      <c r="B218" s="36"/>
      <c r="C218" s="36"/>
      <c r="D218" s="36"/>
      <c r="E218" s="36"/>
      <c r="F218" s="56"/>
    </row>
    <row r="219">
      <c r="A219" s="55"/>
      <c r="B219" s="36"/>
      <c r="C219" s="36"/>
      <c r="D219" s="36"/>
      <c r="E219" s="36"/>
      <c r="F219" s="56"/>
    </row>
    <row r="220">
      <c r="A220" s="55"/>
      <c r="B220" s="36"/>
      <c r="C220" s="36"/>
      <c r="D220" s="36"/>
      <c r="E220" s="36"/>
      <c r="F220" s="56"/>
    </row>
    <row r="221">
      <c r="A221" s="55"/>
      <c r="B221" s="36"/>
      <c r="C221" s="36"/>
      <c r="D221" s="36"/>
      <c r="E221" s="36"/>
      <c r="F221" s="56"/>
    </row>
    <row r="222">
      <c r="A222" s="55"/>
      <c r="B222" s="36"/>
      <c r="C222" s="36"/>
      <c r="D222" s="36"/>
      <c r="E222" s="36"/>
      <c r="F222" s="56"/>
    </row>
    <row r="223">
      <c r="A223" s="55"/>
      <c r="B223" s="36"/>
      <c r="C223" s="36"/>
      <c r="D223" s="36"/>
      <c r="E223" s="36"/>
      <c r="F223" s="56"/>
    </row>
    <row r="224">
      <c r="A224" s="55"/>
      <c r="B224" s="36"/>
      <c r="C224" s="36"/>
      <c r="D224" s="36"/>
      <c r="E224" s="36"/>
      <c r="F224" s="56"/>
    </row>
    <row r="225">
      <c r="A225" s="55"/>
      <c r="B225" s="36"/>
      <c r="C225" s="36"/>
      <c r="D225" s="36"/>
      <c r="E225" s="36"/>
      <c r="F225" s="56"/>
    </row>
    <row r="226">
      <c r="A226" s="55"/>
      <c r="B226" s="36"/>
      <c r="C226" s="36"/>
      <c r="D226" s="36"/>
      <c r="E226" s="36"/>
      <c r="F226" s="56"/>
    </row>
    <row r="227">
      <c r="A227" s="55"/>
      <c r="B227" s="36"/>
      <c r="C227" s="36"/>
      <c r="D227" s="36"/>
      <c r="E227" s="36"/>
      <c r="F227" s="56"/>
    </row>
    <row r="228">
      <c r="A228" s="55"/>
      <c r="B228" s="36"/>
      <c r="C228" s="36"/>
      <c r="D228" s="36"/>
      <c r="E228" s="36"/>
      <c r="F228" s="56"/>
    </row>
    <row r="229">
      <c r="A229" s="55"/>
      <c r="B229" s="36"/>
      <c r="C229" s="36"/>
      <c r="D229" s="36"/>
      <c r="E229" s="36"/>
      <c r="F229" s="56"/>
    </row>
    <row r="230">
      <c r="A230" s="55"/>
      <c r="B230" s="36"/>
      <c r="C230" s="36"/>
      <c r="D230" s="36"/>
      <c r="E230" s="36"/>
      <c r="F230" s="56"/>
    </row>
    <row r="231">
      <c r="A231" s="55"/>
      <c r="B231" s="36"/>
      <c r="C231" s="36"/>
      <c r="D231" s="36"/>
      <c r="E231" s="36"/>
      <c r="F231" s="56"/>
    </row>
    <row r="232">
      <c r="A232" s="55"/>
      <c r="B232" s="36"/>
      <c r="C232" s="36"/>
      <c r="D232" s="36"/>
      <c r="E232" s="36"/>
      <c r="F232" s="56"/>
    </row>
    <row r="233">
      <c r="A233" s="55"/>
      <c r="B233" s="36"/>
      <c r="C233" s="36"/>
      <c r="D233" s="36"/>
      <c r="E233" s="36"/>
      <c r="F233" s="56"/>
    </row>
    <row r="234">
      <c r="A234" s="55"/>
      <c r="B234" s="36"/>
      <c r="C234" s="36"/>
      <c r="D234" s="36"/>
      <c r="E234" s="36"/>
      <c r="F234" s="56"/>
    </row>
    <row r="235">
      <c r="A235" s="55"/>
      <c r="B235" s="36"/>
      <c r="C235" s="36"/>
      <c r="D235" s="36"/>
      <c r="E235" s="36"/>
      <c r="F235" s="56"/>
    </row>
    <row r="236">
      <c r="A236" s="55"/>
      <c r="B236" s="36"/>
      <c r="C236" s="36"/>
      <c r="D236" s="36"/>
      <c r="E236" s="36"/>
      <c r="F236" s="56"/>
    </row>
    <row r="237">
      <c r="A237" s="55"/>
      <c r="B237" s="36"/>
      <c r="C237" s="36"/>
      <c r="D237" s="36"/>
      <c r="E237" s="36"/>
      <c r="F237" s="56"/>
    </row>
    <row r="238">
      <c r="A238" s="55"/>
      <c r="B238" s="36"/>
      <c r="C238" s="36"/>
      <c r="D238" s="36"/>
      <c r="E238" s="36"/>
      <c r="F238" s="56"/>
    </row>
    <row r="239">
      <c r="A239" s="55"/>
      <c r="B239" s="36"/>
      <c r="C239" s="36"/>
      <c r="D239" s="36"/>
      <c r="E239" s="36"/>
      <c r="F239" s="56"/>
    </row>
    <row r="240">
      <c r="A240" s="55"/>
      <c r="B240" s="36"/>
      <c r="C240" s="36"/>
      <c r="D240" s="36"/>
      <c r="E240" s="36"/>
      <c r="F240" s="56"/>
    </row>
    <row r="241">
      <c r="A241" s="55"/>
      <c r="B241" s="36"/>
      <c r="C241" s="36"/>
      <c r="D241" s="36"/>
      <c r="E241" s="36"/>
      <c r="F241" s="56"/>
    </row>
    <row r="242">
      <c r="A242" s="55"/>
      <c r="B242" s="36"/>
      <c r="C242" s="36"/>
      <c r="D242" s="36"/>
      <c r="E242" s="36"/>
      <c r="F242" s="56"/>
    </row>
    <row r="243">
      <c r="A243" s="55"/>
      <c r="B243" s="36"/>
      <c r="C243" s="36"/>
      <c r="D243" s="36"/>
      <c r="E243" s="36"/>
      <c r="F243" s="56"/>
    </row>
    <row r="244">
      <c r="A244" s="55"/>
      <c r="B244" s="36"/>
      <c r="C244" s="36"/>
      <c r="D244" s="36"/>
      <c r="E244" s="36"/>
      <c r="F244" s="56"/>
    </row>
    <row r="245">
      <c r="A245" s="55"/>
      <c r="B245" s="36"/>
      <c r="C245" s="36"/>
      <c r="D245" s="36"/>
      <c r="E245" s="36"/>
      <c r="F245" s="56"/>
    </row>
    <row r="246">
      <c r="A246" s="55"/>
      <c r="B246" s="36"/>
      <c r="C246" s="36"/>
      <c r="D246" s="36"/>
      <c r="E246" s="36"/>
      <c r="F246" s="56"/>
    </row>
    <row r="247">
      <c r="A247" s="55"/>
      <c r="B247" s="36"/>
      <c r="C247" s="36"/>
      <c r="D247" s="36"/>
      <c r="E247" s="36"/>
      <c r="F247" s="56"/>
    </row>
    <row r="248">
      <c r="A248" s="55"/>
      <c r="B248" s="36"/>
      <c r="C248" s="36"/>
      <c r="D248" s="36"/>
      <c r="E248" s="36"/>
      <c r="F248" s="56"/>
    </row>
    <row r="249">
      <c r="A249" s="55"/>
      <c r="B249" s="36"/>
      <c r="C249" s="36"/>
      <c r="D249" s="36"/>
      <c r="E249" s="36"/>
      <c r="F249" s="56"/>
    </row>
    <row r="250">
      <c r="A250" s="55"/>
      <c r="B250" s="36"/>
      <c r="C250" s="36"/>
      <c r="D250" s="36"/>
      <c r="E250" s="36"/>
      <c r="F250" s="56"/>
    </row>
    <row r="251">
      <c r="A251" s="55"/>
      <c r="B251" s="36"/>
      <c r="C251" s="36"/>
      <c r="D251" s="36"/>
      <c r="E251" s="36"/>
      <c r="F251" s="56"/>
    </row>
    <row r="252">
      <c r="A252" s="55"/>
      <c r="B252" s="36"/>
      <c r="C252" s="36"/>
      <c r="D252" s="36"/>
      <c r="E252" s="36"/>
      <c r="F252" s="56"/>
    </row>
    <row r="253">
      <c r="A253" s="55"/>
      <c r="B253" s="36"/>
      <c r="C253" s="36"/>
      <c r="D253" s="36"/>
      <c r="E253" s="36"/>
      <c r="F253" s="56"/>
    </row>
    <row r="254">
      <c r="A254" s="55"/>
      <c r="B254" s="36"/>
      <c r="C254" s="36"/>
      <c r="D254" s="36"/>
      <c r="E254" s="36"/>
      <c r="F254" s="56"/>
    </row>
    <row r="255">
      <c r="A255" s="55"/>
      <c r="B255" s="36"/>
      <c r="C255" s="36"/>
      <c r="D255" s="36"/>
      <c r="E255" s="36"/>
      <c r="F255" s="56"/>
    </row>
    <row r="256">
      <c r="A256" s="55"/>
      <c r="B256" s="36"/>
      <c r="C256" s="36"/>
      <c r="D256" s="36"/>
      <c r="E256" s="36"/>
      <c r="F256" s="56"/>
    </row>
    <row r="257">
      <c r="A257" s="55"/>
      <c r="B257" s="36"/>
      <c r="C257" s="36"/>
      <c r="D257" s="36"/>
      <c r="E257" s="36"/>
      <c r="F257" s="56"/>
    </row>
    <row r="258">
      <c r="A258" s="55"/>
      <c r="B258" s="36"/>
      <c r="C258" s="36"/>
      <c r="D258" s="36"/>
      <c r="E258" s="36"/>
      <c r="F258" s="56"/>
    </row>
    <row r="259">
      <c r="A259" s="55"/>
      <c r="B259" s="36"/>
      <c r="C259" s="36"/>
      <c r="D259" s="36"/>
      <c r="E259" s="36"/>
      <c r="F259" s="56"/>
    </row>
    <row r="260">
      <c r="A260" s="55"/>
      <c r="B260" s="36"/>
      <c r="C260" s="36"/>
      <c r="D260" s="36"/>
      <c r="E260" s="36"/>
      <c r="F260" s="56"/>
    </row>
    <row r="261">
      <c r="A261" s="55"/>
      <c r="B261" s="36"/>
      <c r="C261" s="36"/>
      <c r="D261" s="36"/>
      <c r="E261" s="36"/>
      <c r="F261" s="56"/>
    </row>
    <row r="262">
      <c r="A262" s="55"/>
      <c r="B262" s="36"/>
      <c r="C262" s="36"/>
      <c r="D262" s="36"/>
      <c r="E262" s="36"/>
      <c r="F262" s="56"/>
    </row>
    <row r="263">
      <c r="A263" s="55"/>
      <c r="B263" s="36"/>
      <c r="C263" s="36"/>
      <c r="D263" s="36"/>
      <c r="E263" s="36"/>
      <c r="F263" s="56"/>
    </row>
    <row r="264">
      <c r="A264" s="55"/>
      <c r="B264" s="36"/>
      <c r="C264" s="36"/>
      <c r="D264" s="36"/>
      <c r="E264" s="36"/>
      <c r="F264" s="56"/>
    </row>
    <row r="265">
      <c r="A265" s="55"/>
      <c r="B265" s="36"/>
      <c r="C265" s="36"/>
      <c r="D265" s="36"/>
      <c r="E265" s="36"/>
      <c r="F265" s="56"/>
    </row>
    <row r="266">
      <c r="A266" s="55"/>
      <c r="B266" s="36"/>
      <c r="C266" s="36"/>
      <c r="D266" s="36"/>
      <c r="E266" s="36"/>
      <c r="F266" s="56"/>
    </row>
    <row r="267">
      <c r="A267" s="55"/>
      <c r="B267" s="36"/>
      <c r="C267" s="36"/>
      <c r="D267" s="36"/>
      <c r="E267" s="36"/>
      <c r="F267" s="56"/>
    </row>
    <row r="268">
      <c r="A268" s="55"/>
      <c r="B268" s="36"/>
      <c r="C268" s="36"/>
      <c r="D268" s="36"/>
      <c r="E268" s="36"/>
      <c r="F268" s="56"/>
    </row>
    <row r="269">
      <c r="A269" s="55"/>
      <c r="B269" s="36"/>
      <c r="C269" s="36"/>
      <c r="D269" s="36"/>
      <c r="E269" s="36"/>
      <c r="F269" s="56"/>
    </row>
    <row r="270">
      <c r="A270" s="55"/>
      <c r="B270" s="36"/>
      <c r="C270" s="36"/>
      <c r="D270" s="36"/>
      <c r="E270" s="36"/>
      <c r="F270" s="56"/>
    </row>
    <row r="271">
      <c r="A271" s="55"/>
      <c r="B271" s="36"/>
      <c r="C271" s="36"/>
      <c r="D271" s="36"/>
      <c r="E271" s="36"/>
      <c r="F271" s="56"/>
    </row>
    <row r="272">
      <c r="A272" s="55"/>
      <c r="B272" s="36"/>
      <c r="C272" s="36"/>
      <c r="D272" s="36"/>
      <c r="E272" s="36"/>
      <c r="F272" s="56"/>
    </row>
    <row r="273">
      <c r="A273" s="55"/>
      <c r="B273" s="36"/>
      <c r="C273" s="36"/>
      <c r="D273" s="36"/>
      <c r="E273" s="36"/>
      <c r="F273" s="56"/>
    </row>
    <row r="274">
      <c r="A274" s="55"/>
      <c r="B274" s="36"/>
      <c r="C274" s="36"/>
      <c r="D274" s="36"/>
      <c r="E274" s="36"/>
      <c r="F274" s="56"/>
    </row>
    <row r="275">
      <c r="A275" s="55"/>
      <c r="B275" s="36"/>
      <c r="C275" s="36"/>
      <c r="D275" s="36"/>
      <c r="E275" s="36"/>
      <c r="F275" s="56"/>
    </row>
    <row r="276">
      <c r="A276" s="55"/>
      <c r="B276" s="36"/>
      <c r="C276" s="36"/>
      <c r="D276" s="36"/>
      <c r="E276" s="36"/>
      <c r="F276" s="56"/>
    </row>
    <row r="277">
      <c r="A277" s="55"/>
      <c r="B277" s="36"/>
      <c r="C277" s="36"/>
      <c r="D277" s="36"/>
      <c r="E277" s="36"/>
      <c r="F277" s="56"/>
    </row>
    <row r="278">
      <c r="A278" s="55"/>
      <c r="B278" s="36"/>
      <c r="C278" s="36"/>
      <c r="D278" s="36"/>
      <c r="E278" s="36"/>
      <c r="F278" s="56"/>
    </row>
    <row r="279">
      <c r="A279" s="55"/>
      <c r="B279" s="36"/>
      <c r="C279" s="36"/>
      <c r="D279" s="36"/>
      <c r="E279" s="36"/>
      <c r="F279" s="56"/>
    </row>
    <row r="280">
      <c r="A280" s="55"/>
      <c r="B280" s="36"/>
      <c r="C280" s="36"/>
      <c r="D280" s="36"/>
      <c r="E280" s="36"/>
      <c r="F280" s="56"/>
    </row>
    <row r="281">
      <c r="A281" s="55"/>
      <c r="B281" s="36"/>
      <c r="C281" s="36"/>
      <c r="D281" s="36"/>
      <c r="E281" s="36"/>
      <c r="F281" s="56"/>
    </row>
    <row r="282">
      <c r="A282" s="55"/>
      <c r="B282" s="36"/>
      <c r="C282" s="36"/>
      <c r="D282" s="36"/>
      <c r="E282" s="36"/>
      <c r="F282" s="56"/>
    </row>
    <row r="283">
      <c r="A283" s="55"/>
      <c r="B283" s="36"/>
      <c r="C283" s="36"/>
      <c r="D283" s="36"/>
      <c r="E283" s="36"/>
      <c r="F283" s="56"/>
    </row>
    <row r="284">
      <c r="A284" s="55"/>
      <c r="B284" s="36"/>
      <c r="C284" s="36"/>
      <c r="D284" s="36"/>
      <c r="E284" s="36"/>
      <c r="F284" s="56"/>
    </row>
    <row r="285">
      <c r="A285" s="55"/>
      <c r="B285" s="36"/>
      <c r="C285" s="36"/>
      <c r="D285" s="36"/>
      <c r="E285" s="36"/>
      <c r="F285" s="56"/>
    </row>
    <row r="286">
      <c r="A286" s="55"/>
      <c r="B286" s="36"/>
      <c r="C286" s="36"/>
      <c r="D286" s="36"/>
      <c r="E286" s="36"/>
      <c r="F286" s="56"/>
    </row>
    <row r="287">
      <c r="A287" s="55"/>
      <c r="B287" s="36"/>
      <c r="C287" s="36"/>
      <c r="D287" s="36"/>
      <c r="E287" s="36"/>
      <c r="F287" s="56"/>
    </row>
    <row r="288">
      <c r="A288" s="55"/>
      <c r="B288" s="36"/>
      <c r="C288" s="36"/>
      <c r="D288" s="36"/>
      <c r="E288" s="36"/>
      <c r="F288" s="56"/>
    </row>
    <row r="289">
      <c r="A289" s="55"/>
      <c r="B289" s="36"/>
      <c r="C289" s="36"/>
      <c r="D289" s="36"/>
      <c r="E289" s="36"/>
      <c r="F289" s="56"/>
    </row>
    <row r="290">
      <c r="A290" s="55"/>
      <c r="B290" s="36"/>
      <c r="C290" s="36"/>
      <c r="D290" s="36"/>
      <c r="E290" s="36"/>
      <c r="F290" s="56"/>
    </row>
    <row r="291">
      <c r="A291" s="55"/>
      <c r="B291" s="36"/>
      <c r="C291" s="36"/>
      <c r="D291" s="36"/>
      <c r="E291" s="36"/>
      <c r="F291" s="56"/>
    </row>
    <row r="292">
      <c r="A292" s="55"/>
      <c r="B292" s="36"/>
      <c r="C292" s="36"/>
      <c r="D292" s="36"/>
      <c r="E292" s="36"/>
      <c r="F292" s="56"/>
    </row>
    <row r="293">
      <c r="A293" s="55"/>
      <c r="B293" s="36"/>
      <c r="C293" s="36"/>
      <c r="D293" s="36"/>
      <c r="E293" s="36"/>
      <c r="F293" s="56"/>
    </row>
    <row r="294">
      <c r="A294" s="55"/>
      <c r="B294" s="36"/>
      <c r="C294" s="36"/>
      <c r="D294" s="36"/>
      <c r="E294" s="36"/>
      <c r="F294" s="56"/>
    </row>
    <row r="295">
      <c r="A295" s="55"/>
      <c r="B295" s="36"/>
      <c r="C295" s="36"/>
      <c r="D295" s="36"/>
      <c r="E295" s="36"/>
      <c r="F295" s="56"/>
    </row>
    <row r="296">
      <c r="A296" s="55"/>
      <c r="B296" s="36"/>
      <c r="C296" s="36"/>
      <c r="D296" s="36"/>
      <c r="E296" s="36"/>
      <c r="F296" s="56"/>
    </row>
    <row r="297">
      <c r="A297" s="55"/>
      <c r="B297" s="36"/>
      <c r="C297" s="36"/>
      <c r="D297" s="36"/>
      <c r="E297" s="36"/>
      <c r="F297" s="56"/>
    </row>
    <row r="298">
      <c r="A298" s="55"/>
      <c r="B298" s="36"/>
      <c r="C298" s="36"/>
      <c r="D298" s="36"/>
      <c r="E298" s="36"/>
      <c r="F298" s="56"/>
    </row>
    <row r="299">
      <c r="A299" s="55"/>
      <c r="B299" s="36"/>
      <c r="C299" s="36"/>
      <c r="D299" s="36"/>
      <c r="E299" s="36"/>
      <c r="F299" s="56"/>
    </row>
    <row r="300">
      <c r="A300" s="55"/>
      <c r="B300" s="36"/>
      <c r="C300" s="36"/>
      <c r="D300" s="36"/>
      <c r="E300" s="36"/>
      <c r="F300" s="56"/>
    </row>
    <row r="301">
      <c r="A301" s="55"/>
      <c r="B301" s="36"/>
      <c r="C301" s="36"/>
      <c r="D301" s="36"/>
      <c r="E301" s="36"/>
      <c r="F301" s="56"/>
    </row>
    <row r="302">
      <c r="A302" s="55"/>
      <c r="B302" s="36"/>
      <c r="C302" s="36"/>
      <c r="D302" s="36"/>
      <c r="E302" s="36"/>
      <c r="F302" s="56"/>
    </row>
    <row r="303">
      <c r="A303" s="55"/>
      <c r="B303" s="36"/>
      <c r="C303" s="36"/>
      <c r="D303" s="36"/>
      <c r="E303" s="36"/>
      <c r="F303" s="56"/>
    </row>
    <row r="304">
      <c r="A304" s="55"/>
      <c r="B304" s="36"/>
      <c r="C304" s="36"/>
      <c r="D304" s="36"/>
      <c r="E304" s="36"/>
      <c r="F304" s="56"/>
    </row>
    <row r="305">
      <c r="A305" s="55"/>
      <c r="B305" s="36"/>
      <c r="C305" s="36"/>
      <c r="D305" s="36"/>
      <c r="E305" s="36"/>
      <c r="F305" s="56"/>
    </row>
    <row r="306">
      <c r="A306" s="55"/>
      <c r="B306" s="36"/>
      <c r="C306" s="36"/>
      <c r="D306" s="36"/>
      <c r="E306" s="36"/>
      <c r="F306" s="56"/>
    </row>
    <row r="307">
      <c r="A307" s="55"/>
      <c r="B307" s="36"/>
      <c r="C307" s="36"/>
      <c r="D307" s="36"/>
      <c r="E307" s="36"/>
      <c r="F307" s="56"/>
    </row>
    <row r="308">
      <c r="A308" s="55"/>
      <c r="B308" s="36"/>
      <c r="C308" s="36"/>
      <c r="D308" s="36"/>
      <c r="E308" s="36"/>
      <c r="F308" s="56"/>
    </row>
    <row r="309">
      <c r="A309" s="55"/>
      <c r="B309" s="36"/>
      <c r="C309" s="36"/>
      <c r="D309" s="36"/>
      <c r="E309" s="36"/>
      <c r="F309" s="56"/>
    </row>
    <row r="310">
      <c r="A310" s="55"/>
      <c r="B310" s="36"/>
      <c r="C310" s="36"/>
      <c r="D310" s="36"/>
      <c r="E310" s="36"/>
      <c r="F310" s="56"/>
    </row>
    <row r="311">
      <c r="A311" s="55"/>
      <c r="B311" s="36"/>
      <c r="C311" s="36"/>
      <c r="D311" s="36"/>
      <c r="E311" s="36"/>
      <c r="F311" s="56"/>
    </row>
    <row r="312">
      <c r="A312" s="55"/>
      <c r="B312" s="36"/>
      <c r="C312" s="36"/>
      <c r="D312" s="36"/>
      <c r="E312" s="36"/>
      <c r="F312" s="56"/>
    </row>
    <row r="313">
      <c r="A313" s="55"/>
      <c r="B313" s="36"/>
      <c r="C313" s="36"/>
      <c r="D313" s="36"/>
      <c r="E313" s="36"/>
      <c r="F313" s="56"/>
    </row>
    <row r="314">
      <c r="A314" s="55"/>
      <c r="B314" s="36"/>
      <c r="C314" s="36"/>
      <c r="D314" s="36"/>
      <c r="E314" s="36"/>
      <c r="F314" s="56"/>
    </row>
    <row r="315">
      <c r="A315" s="55"/>
      <c r="B315" s="36"/>
      <c r="C315" s="36"/>
      <c r="D315" s="36"/>
      <c r="E315" s="36"/>
      <c r="F315" s="56"/>
    </row>
    <row r="316">
      <c r="A316" s="55"/>
      <c r="B316" s="36"/>
      <c r="C316" s="36"/>
      <c r="D316" s="36"/>
      <c r="E316" s="36"/>
      <c r="F316" s="56"/>
    </row>
    <row r="317">
      <c r="A317" s="55"/>
      <c r="B317" s="36"/>
      <c r="C317" s="36"/>
      <c r="D317" s="36"/>
      <c r="E317" s="36"/>
      <c r="F317" s="56"/>
    </row>
    <row r="318">
      <c r="A318" s="55"/>
      <c r="B318" s="36"/>
      <c r="C318" s="36"/>
      <c r="D318" s="36"/>
      <c r="E318" s="36"/>
      <c r="F318" s="56"/>
    </row>
    <row r="319">
      <c r="A319" s="55"/>
      <c r="B319" s="36"/>
      <c r="C319" s="36"/>
      <c r="D319" s="36"/>
      <c r="E319" s="36"/>
      <c r="F319" s="56"/>
    </row>
    <row r="320">
      <c r="A320" s="55"/>
      <c r="B320" s="36"/>
      <c r="C320" s="36"/>
      <c r="D320" s="36"/>
      <c r="E320" s="36"/>
      <c r="F320" s="56"/>
    </row>
    <row r="321">
      <c r="A321" s="55"/>
      <c r="B321" s="36"/>
      <c r="C321" s="36"/>
      <c r="D321" s="36"/>
      <c r="E321" s="36"/>
      <c r="F321" s="56"/>
    </row>
    <row r="322">
      <c r="A322" s="55"/>
      <c r="B322" s="36"/>
      <c r="C322" s="36"/>
      <c r="D322" s="36"/>
      <c r="E322" s="36"/>
      <c r="F322" s="56"/>
    </row>
    <row r="323">
      <c r="A323" s="55"/>
      <c r="B323" s="36"/>
      <c r="C323" s="36"/>
      <c r="D323" s="36"/>
      <c r="E323" s="36"/>
      <c r="F323" s="56"/>
    </row>
    <row r="324">
      <c r="A324" s="55"/>
      <c r="B324" s="36"/>
      <c r="C324" s="36"/>
      <c r="D324" s="36"/>
      <c r="E324" s="36"/>
      <c r="F324" s="56"/>
    </row>
    <row r="325">
      <c r="A325" s="55"/>
      <c r="B325" s="36"/>
      <c r="C325" s="36"/>
      <c r="D325" s="36"/>
      <c r="E325" s="36"/>
      <c r="F325" s="56"/>
    </row>
    <row r="326">
      <c r="A326" s="55"/>
      <c r="B326" s="36"/>
      <c r="C326" s="36"/>
      <c r="D326" s="36"/>
      <c r="E326" s="36"/>
      <c r="F326" s="56"/>
    </row>
    <row r="327">
      <c r="A327" s="55"/>
      <c r="B327" s="36"/>
      <c r="C327" s="36"/>
      <c r="D327" s="36"/>
      <c r="E327" s="36"/>
      <c r="F327" s="56"/>
    </row>
    <row r="328">
      <c r="A328" s="55"/>
      <c r="B328" s="36"/>
      <c r="C328" s="36"/>
      <c r="D328" s="36"/>
      <c r="E328" s="36"/>
      <c r="F328" s="56"/>
    </row>
    <row r="329">
      <c r="A329" s="55"/>
      <c r="B329" s="36"/>
      <c r="C329" s="36"/>
      <c r="D329" s="36"/>
      <c r="E329" s="36"/>
      <c r="F329" s="56"/>
    </row>
    <row r="330">
      <c r="A330" s="55"/>
      <c r="B330" s="36"/>
      <c r="C330" s="36"/>
      <c r="D330" s="36"/>
      <c r="E330" s="36"/>
      <c r="F330" s="56"/>
    </row>
    <row r="331">
      <c r="A331" s="55"/>
      <c r="B331" s="36"/>
      <c r="C331" s="36"/>
      <c r="D331" s="36"/>
      <c r="E331" s="36"/>
      <c r="F331" s="56"/>
    </row>
    <row r="332">
      <c r="A332" s="55"/>
      <c r="B332" s="36"/>
      <c r="C332" s="36"/>
      <c r="D332" s="36"/>
      <c r="E332" s="36"/>
      <c r="F332" s="56"/>
    </row>
    <row r="333">
      <c r="A333" s="55"/>
      <c r="B333" s="36"/>
      <c r="C333" s="36"/>
      <c r="D333" s="36"/>
      <c r="E333" s="36"/>
      <c r="F333" s="56"/>
    </row>
    <row r="334">
      <c r="A334" s="55"/>
      <c r="B334" s="36"/>
      <c r="C334" s="36"/>
      <c r="D334" s="36"/>
      <c r="E334" s="36"/>
      <c r="F334" s="56"/>
    </row>
    <row r="335">
      <c r="A335" s="55"/>
      <c r="B335" s="36"/>
      <c r="C335" s="36"/>
      <c r="D335" s="36"/>
      <c r="E335" s="36"/>
      <c r="F335" s="56"/>
    </row>
    <row r="336">
      <c r="A336" s="55"/>
      <c r="B336" s="36"/>
      <c r="C336" s="36"/>
      <c r="D336" s="36"/>
      <c r="E336" s="36"/>
      <c r="F336" s="56"/>
    </row>
    <row r="337">
      <c r="A337" s="55"/>
      <c r="B337" s="36"/>
      <c r="C337" s="36"/>
      <c r="D337" s="36"/>
      <c r="E337" s="36"/>
      <c r="F337" s="56"/>
    </row>
    <row r="338">
      <c r="A338" s="55"/>
      <c r="B338" s="36"/>
      <c r="C338" s="36"/>
      <c r="D338" s="36"/>
      <c r="E338" s="36"/>
      <c r="F338" s="56"/>
    </row>
    <row r="339">
      <c r="A339" s="55"/>
      <c r="B339" s="36"/>
      <c r="C339" s="36"/>
      <c r="D339" s="36"/>
      <c r="E339" s="36"/>
      <c r="F339" s="56"/>
    </row>
    <row r="340">
      <c r="A340" s="55"/>
      <c r="B340" s="36"/>
      <c r="C340" s="36"/>
      <c r="D340" s="36"/>
      <c r="E340" s="36"/>
      <c r="F340" s="56"/>
    </row>
    <row r="341">
      <c r="A341" s="55"/>
      <c r="B341" s="36"/>
      <c r="C341" s="36"/>
      <c r="D341" s="36"/>
      <c r="E341" s="36"/>
      <c r="F341" s="56"/>
    </row>
    <row r="342">
      <c r="A342" s="55"/>
      <c r="B342" s="36"/>
      <c r="C342" s="36"/>
      <c r="D342" s="36"/>
      <c r="E342" s="36"/>
      <c r="F342" s="56"/>
    </row>
    <row r="343">
      <c r="A343" s="55"/>
      <c r="B343" s="36"/>
      <c r="C343" s="36"/>
      <c r="D343" s="36"/>
      <c r="E343" s="36"/>
      <c r="F343" s="56"/>
    </row>
    <row r="344">
      <c r="A344" s="55"/>
      <c r="B344" s="36"/>
      <c r="C344" s="36"/>
      <c r="D344" s="36"/>
      <c r="E344" s="36"/>
      <c r="F344" s="56"/>
    </row>
    <row r="345">
      <c r="A345" s="55"/>
      <c r="B345" s="36"/>
      <c r="C345" s="36"/>
      <c r="D345" s="36"/>
      <c r="E345" s="36"/>
      <c r="F345" s="56"/>
    </row>
    <row r="346">
      <c r="A346" s="55"/>
      <c r="B346" s="36"/>
      <c r="C346" s="36"/>
      <c r="D346" s="36"/>
      <c r="E346" s="36"/>
      <c r="F346" s="56"/>
    </row>
    <row r="347">
      <c r="A347" s="55"/>
      <c r="B347" s="36"/>
      <c r="C347" s="36"/>
      <c r="D347" s="36"/>
      <c r="E347" s="36"/>
      <c r="F347" s="56"/>
    </row>
    <row r="348">
      <c r="A348" s="55"/>
      <c r="B348" s="36"/>
      <c r="C348" s="36"/>
      <c r="D348" s="36"/>
      <c r="E348" s="36"/>
      <c r="F348" s="56"/>
    </row>
    <row r="349">
      <c r="A349" s="55"/>
      <c r="B349" s="36"/>
      <c r="C349" s="36"/>
      <c r="D349" s="36"/>
      <c r="E349" s="36"/>
      <c r="F349" s="56"/>
    </row>
    <row r="350">
      <c r="A350" s="55"/>
      <c r="B350" s="36"/>
      <c r="C350" s="36"/>
      <c r="D350" s="36"/>
      <c r="E350" s="36"/>
      <c r="F350" s="56"/>
    </row>
    <row r="351">
      <c r="A351" s="55"/>
      <c r="B351" s="36"/>
      <c r="C351" s="36"/>
      <c r="D351" s="36"/>
      <c r="E351" s="36"/>
      <c r="F351" s="56"/>
    </row>
    <row r="352">
      <c r="A352" s="55"/>
      <c r="B352" s="36"/>
      <c r="C352" s="36"/>
      <c r="D352" s="36"/>
      <c r="E352" s="36"/>
      <c r="F352" s="56"/>
    </row>
    <row r="353">
      <c r="A353" s="55"/>
      <c r="B353" s="36"/>
      <c r="C353" s="36"/>
      <c r="D353" s="36"/>
      <c r="E353" s="36"/>
      <c r="F353" s="56"/>
    </row>
    <row r="354">
      <c r="A354" s="55"/>
      <c r="B354" s="36"/>
      <c r="C354" s="36"/>
      <c r="D354" s="36"/>
      <c r="E354" s="36"/>
      <c r="F354" s="56"/>
    </row>
    <row r="355">
      <c r="A355" s="55"/>
      <c r="B355" s="36"/>
      <c r="C355" s="36"/>
      <c r="D355" s="36"/>
      <c r="E355" s="36"/>
      <c r="F355" s="56"/>
    </row>
    <row r="356">
      <c r="A356" s="55"/>
      <c r="B356" s="36"/>
      <c r="C356" s="36"/>
      <c r="D356" s="36"/>
      <c r="E356" s="36"/>
      <c r="F356" s="56"/>
    </row>
    <row r="357">
      <c r="A357" s="55"/>
      <c r="B357" s="36"/>
      <c r="C357" s="36"/>
      <c r="D357" s="36"/>
      <c r="E357" s="36"/>
      <c r="F357" s="56"/>
    </row>
    <row r="358">
      <c r="A358" s="55"/>
      <c r="B358" s="36"/>
      <c r="C358" s="36"/>
      <c r="D358" s="36"/>
      <c r="E358" s="36"/>
      <c r="F358" s="56"/>
    </row>
    <row r="359">
      <c r="A359" s="55"/>
      <c r="B359" s="36"/>
      <c r="C359" s="36"/>
      <c r="D359" s="36"/>
      <c r="E359" s="36"/>
      <c r="F359" s="56"/>
    </row>
    <row r="360">
      <c r="A360" s="55"/>
      <c r="B360" s="36"/>
      <c r="C360" s="36"/>
      <c r="D360" s="36"/>
      <c r="E360" s="36"/>
      <c r="F360" s="56"/>
    </row>
    <row r="361">
      <c r="A361" s="55"/>
      <c r="B361" s="36"/>
      <c r="C361" s="36"/>
      <c r="D361" s="36"/>
      <c r="E361" s="36"/>
      <c r="F361" s="56"/>
    </row>
    <row r="362">
      <c r="A362" s="55"/>
      <c r="B362" s="36"/>
      <c r="C362" s="36"/>
      <c r="D362" s="36"/>
      <c r="E362" s="36"/>
      <c r="F362" s="56"/>
    </row>
    <row r="363">
      <c r="A363" s="55"/>
      <c r="B363" s="36"/>
      <c r="C363" s="36"/>
      <c r="D363" s="36"/>
      <c r="E363" s="36"/>
      <c r="F363" s="56"/>
    </row>
    <row r="364">
      <c r="A364" s="55"/>
      <c r="B364" s="36"/>
      <c r="C364" s="36"/>
      <c r="D364" s="36"/>
      <c r="E364" s="36"/>
      <c r="F364" s="56"/>
    </row>
    <row r="365">
      <c r="A365" s="55"/>
      <c r="B365" s="36"/>
      <c r="C365" s="36"/>
      <c r="D365" s="36"/>
      <c r="E365" s="36"/>
      <c r="F365" s="56"/>
    </row>
    <row r="366">
      <c r="A366" s="55"/>
      <c r="B366" s="36"/>
      <c r="C366" s="36"/>
      <c r="D366" s="36"/>
      <c r="E366" s="36"/>
      <c r="F366" s="56"/>
    </row>
    <row r="367">
      <c r="A367" s="55"/>
      <c r="B367" s="36"/>
      <c r="C367" s="36"/>
      <c r="D367" s="36"/>
      <c r="E367" s="36"/>
      <c r="F367" s="56"/>
    </row>
    <row r="368">
      <c r="A368" s="55"/>
      <c r="B368" s="36"/>
      <c r="C368" s="36"/>
      <c r="D368" s="36"/>
      <c r="E368" s="36"/>
      <c r="F368" s="56"/>
    </row>
    <row r="369">
      <c r="A369" s="55"/>
      <c r="B369" s="36"/>
      <c r="C369" s="36"/>
      <c r="D369" s="36"/>
      <c r="E369" s="36"/>
      <c r="F369" s="56"/>
    </row>
    <row r="370">
      <c r="A370" s="55"/>
      <c r="B370" s="36"/>
      <c r="C370" s="36"/>
      <c r="D370" s="36"/>
      <c r="E370" s="36"/>
      <c r="F370" s="56"/>
    </row>
    <row r="371">
      <c r="A371" s="55"/>
      <c r="B371" s="36"/>
      <c r="C371" s="36"/>
      <c r="D371" s="36"/>
      <c r="E371" s="36"/>
      <c r="F371" s="56"/>
    </row>
    <row r="372">
      <c r="A372" s="55"/>
      <c r="B372" s="36"/>
      <c r="C372" s="36"/>
      <c r="D372" s="36"/>
      <c r="E372" s="36"/>
      <c r="F372" s="56"/>
    </row>
    <row r="373">
      <c r="A373" s="55"/>
      <c r="B373" s="36"/>
      <c r="C373" s="36"/>
      <c r="D373" s="36"/>
      <c r="E373" s="36"/>
      <c r="F373" s="56"/>
    </row>
    <row r="374">
      <c r="A374" s="55"/>
      <c r="B374" s="36"/>
      <c r="C374" s="36"/>
      <c r="D374" s="36"/>
      <c r="E374" s="36"/>
      <c r="F374" s="56"/>
    </row>
    <row r="375">
      <c r="A375" s="55"/>
      <c r="B375" s="36"/>
      <c r="C375" s="36"/>
      <c r="D375" s="36"/>
      <c r="E375" s="36"/>
      <c r="F375" s="56"/>
    </row>
    <row r="376">
      <c r="A376" s="55"/>
      <c r="B376" s="36"/>
      <c r="C376" s="36"/>
      <c r="D376" s="36"/>
      <c r="E376" s="36"/>
      <c r="F376" s="56"/>
    </row>
    <row r="377">
      <c r="A377" s="55"/>
      <c r="B377" s="36"/>
      <c r="C377" s="36"/>
      <c r="D377" s="36"/>
      <c r="E377" s="36"/>
      <c r="F377" s="56"/>
    </row>
    <row r="378">
      <c r="A378" s="55"/>
      <c r="B378" s="36"/>
      <c r="C378" s="36"/>
      <c r="D378" s="36"/>
      <c r="E378" s="36"/>
      <c r="F378" s="56"/>
    </row>
    <row r="379">
      <c r="A379" s="55"/>
      <c r="B379" s="36"/>
      <c r="C379" s="36"/>
      <c r="D379" s="36"/>
      <c r="E379" s="36"/>
      <c r="F379" s="56"/>
    </row>
    <row r="380">
      <c r="A380" s="55"/>
      <c r="B380" s="36"/>
      <c r="C380" s="36"/>
      <c r="D380" s="36"/>
      <c r="E380" s="36"/>
      <c r="F380" s="56"/>
    </row>
    <row r="381">
      <c r="A381" s="55"/>
      <c r="B381" s="36"/>
      <c r="C381" s="36"/>
      <c r="D381" s="36"/>
      <c r="E381" s="36"/>
      <c r="F381" s="56"/>
    </row>
    <row r="382">
      <c r="A382" s="55"/>
      <c r="B382" s="36"/>
      <c r="C382" s="36"/>
      <c r="D382" s="36"/>
      <c r="E382" s="36"/>
      <c r="F382" s="56"/>
    </row>
    <row r="383">
      <c r="A383" s="55"/>
      <c r="B383" s="36"/>
      <c r="C383" s="36"/>
      <c r="D383" s="36"/>
      <c r="E383" s="36"/>
      <c r="F383" s="56"/>
    </row>
    <row r="384">
      <c r="A384" s="55"/>
      <c r="B384" s="36"/>
      <c r="C384" s="36"/>
      <c r="D384" s="36"/>
      <c r="E384" s="36"/>
      <c r="F384" s="56"/>
    </row>
    <row r="385">
      <c r="A385" s="55"/>
      <c r="B385" s="36"/>
      <c r="C385" s="36"/>
      <c r="D385" s="36"/>
      <c r="E385" s="36"/>
      <c r="F385" s="56"/>
    </row>
    <row r="386">
      <c r="A386" s="55"/>
      <c r="B386" s="36"/>
      <c r="C386" s="36"/>
      <c r="D386" s="36"/>
      <c r="E386" s="36"/>
      <c r="F386" s="56"/>
    </row>
    <row r="387">
      <c r="A387" s="55"/>
      <c r="B387" s="36"/>
      <c r="C387" s="36"/>
      <c r="D387" s="36"/>
      <c r="E387" s="36"/>
      <c r="F387" s="56"/>
    </row>
    <row r="388">
      <c r="A388" s="55"/>
      <c r="B388" s="36"/>
      <c r="C388" s="36"/>
      <c r="D388" s="36"/>
      <c r="E388" s="36"/>
      <c r="F388" s="56"/>
    </row>
    <row r="389">
      <c r="A389" s="55"/>
      <c r="B389" s="36"/>
      <c r="C389" s="36"/>
      <c r="D389" s="36"/>
      <c r="E389" s="36"/>
      <c r="F389" s="56"/>
    </row>
    <row r="390">
      <c r="A390" s="55"/>
      <c r="B390" s="36"/>
      <c r="C390" s="36"/>
      <c r="D390" s="36"/>
      <c r="E390" s="36"/>
      <c r="F390" s="56"/>
    </row>
    <row r="391">
      <c r="A391" s="55"/>
      <c r="B391" s="36"/>
      <c r="C391" s="36"/>
      <c r="D391" s="36"/>
      <c r="E391" s="36"/>
      <c r="F391" s="56"/>
    </row>
    <row r="392">
      <c r="A392" s="55"/>
      <c r="B392" s="36"/>
      <c r="C392" s="36"/>
      <c r="D392" s="36"/>
      <c r="E392" s="36"/>
      <c r="F392" s="56"/>
    </row>
    <row r="393">
      <c r="A393" s="55"/>
      <c r="B393" s="36"/>
      <c r="C393" s="36"/>
      <c r="D393" s="36"/>
      <c r="E393" s="36"/>
      <c r="F393" s="56"/>
    </row>
    <row r="394">
      <c r="A394" s="55"/>
      <c r="B394" s="36"/>
      <c r="C394" s="36"/>
      <c r="D394" s="36"/>
      <c r="E394" s="36"/>
      <c r="F394" s="56"/>
    </row>
    <row r="395">
      <c r="A395" s="55"/>
      <c r="B395" s="36"/>
      <c r="C395" s="36"/>
      <c r="D395" s="36"/>
      <c r="E395" s="36"/>
      <c r="F395" s="56"/>
    </row>
    <row r="396">
      <c r="A396" s="55"/>
      <c r="B396" s="36"/>
      <c r="C396" s="36"/>
      <c r="D396" s="36"/>
      <c r="E396" s="36"/>
      <c r="F396" s="56"/>
    </row>
    <row r="397">
      <c r="A397" s="55"/>
      <c r="B397" s="36"/>
      <c r="C397" s="36"/>
      <c r="D397" s="36"/>
      <c r="E397" s="36"/>
      <c r="F397" s="56"/>
    </row>
    <row r="398">
      <c r="A398" s="55"/>
      <c r="B398" s="36"/>
      <c r="C398" s="36"/>
      <c r="D398" s="36"/>
      <c r="E398" s="36"/>
      <c r="F398" s="56"/>
    </row>
    <row r="399">
      <c r="A399" s="55"/>
      <c r="B399" s="36"/>
      <c r="C399" s="36"/>
      <c r="D399" s="36"/>
      <c r="E399" s="36"/>
      <c r="F399" s="56"/>
    </row>
    <row r="400">
      <c r="A400" s="55"/>
      <c r="B400" s="36"/>
      <c r="C400" s="36"/>
      <c r="D400" s="36"/>
      <c r="E400" s="36"/>
      <c r="F400" s="56"/>
    </row>
    <row r="401">
      <c r="A401" s="55"/>
      <c r="B401" s="36"/>
      <c r="C401" s="36"/>
      <c r="D401" s="36"/>
      <c r="E401" s="36"/>
      <c r="F401" s="56"/>
    </row>
    <row r="402">
      <c r="A402" s="55"/>
      <c r="B402" s="36"/>
      <c r="C402" s="36"/>
      <c r="D402" s="36"/>
      <c r="E402" s="36"/>
      <c r="F402" s="56"/>
    </row>
    <row r="403">
      <c r="A403" s="55"/>
      <c r="B403" s="36"/>
      <c r="C403" s="36"/>
      <c r="D403" s="36"/>
      <c r="E403" s="36"/>
      <c r="F403" s="56"/>
    </row>
    <row r="404">
      <c r="A404" s="55"/>
      <c r="B404" s="36"/>
      <c r="C404" s="36"/>
      <c r="D404" s="36"/>
      <c r="E404" s="36"/>
      <c r="F404" s="56"/>
    </row>
    <row r="405">
      <c r="A405" s="55"/>
      <c r="B405" s="36"/>
      <c r="C405" s="36"/>
      <c r="D405" s="36"/>
      <c r="E405" s="36"/>
      <c r="F405" s="56"/>
    </row>
    <row r="406">
      <c r="A406" s="55"/>
      <c r="B406" s="36"/>
      <c r="C406" s="36"/>
      <c r="D406" s="36"/>
      <c r="E406" s="36"/>
      <c r="F406" s="56"/>
    </row>
    <row r="407">
      <c r="A407" s="55"/>
      <c r="B407" s="36"/>
      <c r="C407" s="36"/>
      <c r="D407" s="36"/>
      <c r="E407" s="36"/>
      <c r="F407" s="56"/>
    </row>
    <row r="408">
      <c r="A408" s="55"/>
      <c r="B408" s="36"/>
      <c r="C408" s="36"/>
      <c r="D408" s="36"/>
      <c r="E408" s="36"/>
      <c r="F408" s="56"/>
    </row>
    <row r="409">
      <c r="A409" s="55"/>
      <c r="B409" s="36"/>
      <c r="C409" s="36"/>
      <c r="D409" s="36"/>
      <c r="E409" s="36"/>
      <c r="F409" s="56"/>
    </row>
    <row r="410">
      <c r="A410" s="55"/>
      <c r="B410" s="36"/>
      <c r="C410" s="36"/>
      <c r="D410" s="36"/>
      <c r="E410" s="36"/>
      <c r="F410" s="56"/>
    </row>
    <row r="411">
      <c r="A411" s="55"/>
      <c r="B411" s="36"/>
      <c r="C411" s="36"/>
      <c r="D411" s="36"/>
      <c r="E411" s="36"/>
      <c r="F411" s="56"/>
    </row>
    <row r="412">
      <c r="A412" s="55"/>
      <c r="B412" s="36"/>
      <c r="C412" s="36"/>
      <c r="D412" s="36"/>
      <c r="E412" s="36"/>
      <c r="F412" s="56"/>
    </row>
    <row r="413">
      <c r="A413" s="55"/>
      <c r="B413" s="36"/>
      <c r="C413" s="36"/>
      <c r="D413" s="36"/>
      <c r="E413" s="36"/>
      <c r="F413" s="56"/>
    </row>
    <row r="414">
      <c r="A414" s="55"/>
      <c r="B414" s="36"/>
      <c r="C414" s="36"/>
      <c r="D414" s="36"/>
      <c r="E414" s="36"/>
      <c r="F414" s="56"/>
    </row>
    <row r="415">
      <c r="A415" s="55"/>
      <c r="B415" s="36"/>
      <c r="C415" s="36"/>
      <c r="D415" s="36"/>
      <c r="E415" s="36"/>
      <c r="F415" s="56"/>
    </row>
    <row r="416">
      <c r="A416" s="55"/>
      <c r="B416" s="36"/>
      <c r="C416" s="36"/>
      <c r="D416" s="36"/>
      <c r="E416" s="36"/>
      <c r="F416" s="56"/>
    </row>
    <row r="417">
      <c r="A417" s="55"/>
      <c r="B417" s="36"/>
      <c r="C417" s="36"/>
      <c r="D417" s="36"/>
      <c r="E417" s="36"/>
      <c r="F417" s="56"/>
    </row>
    <row r="418">
      <c r="A418" s="55"/>
      <c r="B418" s="36"/>
      <c r="C418" s="36"/>
      <c r="D418" s="36"/>
      <c r="E418" s="36"/>
      <c r="F418" s="56"/>
    </row>
    <row r="419">
      <c r="A419" s="55"/>
      <c r="B419" s="36"/>
      <c r="C419" s="36"/>
      <c r="D419" s="36"/>
      <c r="E419" s="36"/>
      <c r="F419" s="56"/>
    </row>
    <row r="420">
      <c r="A420" s="55"/>
      <c r="B420" s="36"/>
      <c r="C420" s="36"/>
      <c r="D420" s="36"/>
      <c r="E420" s="36"/>
      <c r="F420" s="56"/>
    </row>
    <row r="421">
      <c r="A421" s="55"/>
      <c r="B421" s="36"/>
      <c r="C421" s="36"/>
      <c r="D421" s="36"/>
      <c r="E421" s="36"/>
      <c r="F421" s="56"/>
    </row>
    <row r="422">
      <c r="A422" s="55"/>
      <c r="B422" s="36"/>
      <c r="C422" s="36"/>
      <c r="D422" s="36"/>
      <c r="E422" s="36"/>
      <c r="F422" s="56"/>
    </row>
    <row r="423">
      <c r="A423" s="55"/>
      <c r="B423" s="36"/>
      <c r="C423" s="36"/>
      <c r="D423" s="36"/>
      <c r="E423" s="36"/>
      <c r="F423" s="56"/>
    </row>
    <row r="424">
      <c r="A424" s="55"/>
      <c r="B424" s="36"/>
      <c r="C424" s="36"/>
      <c r="D424" s="36"/>
      <c r="E424" s="36"/>
      <c r="F424" s="56"/>
    </row>
    <row r="425">
      <c r="A425" s="55"/>
      <c r="B425" s="36"/>
      <c r="C425" s="36"/>
      <c r="D425" s="36"/>
      <c r="E425" s="36"/>
      <c r="F425" s="56"/>
    </row>
    <row r="426">
      <c r="A426" s="55"/>
      <c r="B426" s="36"/>
      <c r="C426" s="36"/>
      <c r="D426" s="36"/>
      <c r="E426" s="36"/>
      <c r="F426" s="56"/>
    </row>
    <row r="427">
      <c r="A427" s="55"/>
      <c r="B427" s="36"/>
      <c r="C427" s="36"/>
      <c r="D427" s="36"/>
      <c r="E427" s="36"/>
      <c r="F427" s="56"/>
    </row>
    <row r="428">
      <c r="A428" s="55"/>
      <c r="B428" s="36"/>
      <c r="C428" s="36"/>
      <c r="D428" s="36"/>
      <c r="E428" s="36"/>
      <c r="F428" s="56"/>
    </row>
    <row r="429">
      <c r="A429" s="55"/>
      <c r="B429" s="36"/>
      <c r="C429" s="36"/>
      <c r="D429" s="36"/>
      <c r="E429" s="36"/>
      <c r="F429" s="56"/>
    </row>
    <row r="430">
      <c r="A430" s="55"/>
      <c r="B430" s="36"/>
      <c r="C430" s="36"/>
      <c r="D430" s="36"/>
      <c r="E430" s="36"/>
      <c r="F430" s="56"/>
    </row>
    <row r="431">
      <c r="A431" s="55"/>
      <c r="B431" s="36"/>
      <c r="C431" s="36"/>
      <c r="D431" s="36"/>
      <c r="E431" s="36"/>
      <c r="F431" s="56"/>
    </row>
    <row r="432">
      <c r="A432" s="55"/>
      <c r="B432" s="36"/>
      <c r="C432" s="36"/>
      <c r="D432" s="36"/>
      <c r="E432" s="36"/>
      <c r="F432" s="56"/>
    </row>
    <row r="433">
      <c r="A433" s="55"/>
      <c r="B433" s="36"/>
      <c r="C433" s="36"/>
      <c r="D433" s="36"/>
      <c r="E433" s="36"/>
      <c r="F433" s="56"/>
    </row>
    <row r="434">
      <c r="A434" s="55"/>
      <c r="B434" s="36"/>
      <c r="C434" s="36"/>
      <c r="D434" s="36"/>
      <c r="E434" s="36"/>
      <c r="F434" s="56"/>
    </row>
    <row r="435">
      <c r="A435" s="55"/>
      <c r="B435" s="36"/>
      <c r="C435" s="36"/>
      <c r="D435" s="36"/>
      <c r="E435" s="36"/>
      <c r="F435" s="56"/>
    </row>
    <row r="436">
      <c r="A436" s="55"/>
      <c r="B436" s="36"/>
      <c r="C436" s="36"/>
      <c r="D436" s="36"/>
      <c r="E436" s="36"/>
      <c r="F436" s="56"/>
    </row>
    <row r="437">
      <c r="A437" s="55"/>
      <c r="B437" s="36"/>
      <c r="C437" s="36"/>
      <c r="D437" s="36"/>
      <c r="E437" s="36"/>
      <c r="F437" s="56"/>
    </row>
    <row r="438">
      <c r="A438" s="55"/>
      <c r="B438" s="36"/>
      <c r="C438" s="36"/>
      <c r="D438" s="36"/>
      <c r="E438" s="36"/>
      <c r="F438" s="56"/>
    </row>
    <row r="439">
      <c r="A439" s="55"/>
      <c r="B439" s="36"/>
      <c r="C439" s="36"/>
      <c r="D439" s="36"/>
      <c r="E439" s="36"/>
      <c r="F439" s="56"/>
    </row>
    <row r="440">
      <c r="A440" s="55"/>
      <c r="B440" s="36"/>
      <c r="C440" s="36"/>
      <c r="D440" s="36"/>
      <c r="E440" s="36"/>
      <c r="F440" s="56"/>
    </row>
    <row r="441">
      <c r="A441" s="55"/>
      <c r="B441" s="36"/>
      <c r="C441" s="36"/>
      <c r="D441" s="36"/>
      <c r="E441" s="36"/>
      <c r="F441" s="56"/>
    </row>
    <row r="442">
      <c r="A442" s="55"/>
      <c r="B442" s="36"/>
      <c r="C442" s="36"/>
      <c r="D442" s="36"/>
      <c r="E442" s="36"/>
      <c r="F442" s="56"/>
    </row>
    <row r="443">
      <c r="A443" s="55"/>
      <c r="B443" s="36"/>
      <c r="C443" s="36"/>
      <c r="D443" s="36"/>
      <c r="E443" s="36"/>
      <c r="F443" s="56"/>
    </row>
    <row r="444">
      <c r="A444" s="55"/>
      <c r="B444" s="36"/>
      <c r="C444" s="36"/>
      <c r="D444" s="36"/>
      <c r="E444" s="36"/>
      <c r="F444" s="56"/>
    </row>
    <row r="445">
      <c r="A445" s="55"/>
      <c r="B445" s="36"/>
      <c r="C445" s="36"/>
      <c r="D445" s="36"/>
      <c r="E445" s="36"/>
      <c r="F445" s="56"/>
    </row>
    <row r="446">
      <c r="A446" s="55"/>
      <c r="B446" s="36"/>
      <c r="C446" s="36"/>
      <c r="D446" s="36"/>
      <c r="E446" s="36"/>
      <c r="F446" s="56"/>
    </row>
    <row r="447">
      <c r="A447" s="55"/>
      <c r="B447" s="36"/>
      <c r="C447" s="36"/>
      <c r="D447" s="36"/>
      <c r="E447" s="36"/>
      <c r="F447" s="56"/>
    </row>
    <row r="448">
      <c r="A448" s="55"/>
      <c r="B448" s="36"/>
      <c r="C448" s="36"/>
      <c r="D448" s="36"/>
      <c r="E448" s="36"/>
      <c r="F448" s="56"/>
    </row>
    <row r="449">
      <c r="A449" s="55"/>
      <c r="B449" s="36"/>
      <c r="C449" s="36"/>
      <c r="D449" s="36"/>
      <c r="E449" s="36"/>
      <c r="F449" s="56"/>
    </row>
    <row r="450">
      <c r="A450" s="55"/>
      <c r="B450" s="36"/>
      <c r="C450" s="36"/>
      <c r="D450" s="36"/>
      <c r="E450" s="36"/>
      <c r="F450" s="56"/>
    </row>
    <row r="451">
      <c r="A451" s="55"/>
      <c r="B451" s="36"/>
      <c r="C451" s="36"/>
      <c r="D451" s="36"/>
      <c r="E451" s="36"/>
      <c r="F451" s="56"/>
    </row>
    <row r="452">
      <c r="A452" s="55"/>
      <c r="B452" s="36"/>
      <c r="C452" s="36"/>
      <c r="D452" s="36"/>
      <c r="E452" s="36"/>
      <c r="F452" s="56"/>
    </row>
    <row r="453">
      <c r="A453" s="55"/>
      <c r="B453" s="36"/>
      <c r="C453" s="36"/>
      <c r="D453" s="36"/>
      <c r="E453" s="36"/>
      <c r="F453" s="56"/>
    </row>
    <row r="454">
      <c r="A454" s="55"/>
      <c r="B454" s="36"/>
      <c r="C454" s="36"/>
      <c r="D454" s="36"/>
      <c r="E454" s="36"/>
      <c r="F454" s="56"/>
    </row>
    <row r="455">
      <c r="A455" s="55"/>
      <c r="B455" s="36"/>
      <c r="C455" s="36"/>
      <c r="D455" s="36"/>
      <c r="E455" s="36"/>
      <c r="F455" s="56"/>
    </row>
    <row r="456">
      <c r="A456" s="55"/>
      <c r="B456" s="36"/>
      <c r="C456" s="36"/>
      <c r="D456" s="36"/>
      <c r="E456" s="36"/>
      <c r="F456" s="56"/>
    </row>
    <row r="457">
      <c r="A457" s="55"/>
      <c r="B457" s="36"/>
      <c r="C457" s="36"/>
      <c r="D457" s="36"/>
      <c r="E457" s="36"/>
      <c r="F457" s="56"/>
    </row>
    <row r="458">
      <c r="A458" s="55"/>
      <c r="B458" s="36"/>
      <c r="C458" s="36"/>
      <c r="D458" s="36"/>
      <c r="E458" s="36"/>
      <c r="F458" s="56"/>
    </row>
    <row r="459">
      <c r="A459" s="55"/>
      <c r="B459" s="36"/>
      <c r="C459" s="36"/>
      <c r="D459" s="36"/>
      <c r="E459" s="36"/>
      <c r="F459" s="56"/>
    </row>
    <row r="460">
      <c r="A460" s="55"/>
      <c r="B460" s="36"/>
      <c r="C460" s="36"/>
      <c r="D460" s="36"/>
      <c r="E460" s="36"/>
      <c r="F460" s="56"/>
    </row>
    <row r="461">
      <c r="A461" s="55"/>
      <c r="B461" s="36"/>
      <c r="C461" s="36"/>
      <c r="D461" s="36"/>
      <c r="E461" s="36"/>
      <c r="F461" s="56"/>
    </row>
    <row r="462">
      <c r="A462" s="55"/>
      <c r="B462" s="36"/>
      <c r="C462" s="36"/>
      <c r="D462" s="36"/>
      <c r="E462" s="36"/>
      <c r="F462" s="56"/>
    </row>
    <row r="463">
      <c r="A463" s="55"/>
      <c r="B463" s="36"/>
      <c r="C463" s="36"/>
      <c r="D463" s="36"/>
      <c r="E463" s="36"/>
      <c r="F463" s="56"/>
    </row>
    <row r="464">
      <c r="A464" s="55"/>
      <c r="B464" s="36"/>
      <c r="C464" s="36"/>
      <c r="D464" s="36"/>
      <c r="E464" s="36"/>
      <c r="F464" s="56"/>
    </row>
    <row r="465">
      <c r="A465" s="55"/>
      <c r="B465" s="36"/>
      <c r="C465" s="36"/>
      <c r="D465" s="36"/>
      <c r="E465" s="36"/>
      <c r="F465" s="56"/>
    </row>
    <row r="466">
      <c r="A466" s="55"/>
      <c r="B466" s="36"/>
      <c r="C466" s="36"/>
      <c r="D466" s="36"/>
      <c r="E466" s="36"/>
      <c r="F466" s="56"/>
    </row>
    <row r="467">
      <c r="A467" s="55"/>
      <c r="B467" s="36"/>
      <c r="C467" s="36"/>
      <c r="D467" s="36"/>
      <c r="E467" s="36"/>
      <c r="F467" s="56"/>
    </row>
    <row r="468">
      <c r="A468" s="55"/>
      <c r="B468" s="36"/>
      <c r="C468" s="36"/>
      <c r="D468" s="36"/>
      <c r="E468" s="36"/>
      <c r="F468" s="56"/>
    </row>
    <row r="469">
      <c r="A469" s="55"/>
      <c r="B469" s="36"/>
      <c r="C469" s="36"/>
      <c r="D469" s="36"/>
      <c r="E469" s="36"/>
      <c r="F469" s="56"/>
    </row>
    <row r="470">
      <c r="A470" s="55"/>
      <c r="B470" s="36"/>
      <c r="C470" s="36"/>
      <c r="D470" s="36"/>
      <c r="E470" s="36"/>
      <c r="F470" s="56"/>
    </row>
    <row r="471">
      <c r="A471" s="55"/>
      <c r="B471" s="36"/>
      <c r="C471" s="36"/>
      <c r="D471" s="36"/>
      <c r="E471" s="36"/>
      <c r="F471" s="56"/>
    </row>
    <row r="472">
      <c r="A472" s="55"/>
      <c r="B472" s="36"/>
      <c r="C472" s="36"/>
      <c r="D472" s="36"/>
      <c r="E472" s="36"/>
      <c r="F472" s="56"/>
    </row>
    <row r="473">
      <c r="A473" s="55"/>
      <c r="B473" s="36"/>
      <c r="C473" s="36"/>
      <c r="D473" s="36"/>
      <c r="E473" s="36"/>
      <c r="F473" s="56"/>
    </row>
    <row r="474">
      <c r="A474" s="55"/>
      <c r="B474" s="36"/>
      <c r="C474" s="36"/>
      <c r="D474" s="36"/>
      <c r="E474" s="36"/>
      <c r="F474" s="56"/>
    </row>
    <row r="475">
      <c r="A475" s="55"/>
      <c r="B475" s="36"/>
      <c r="C475" s="36"/>
      <c r="D475" s="36"/>
      <c r="E475" s="36"/>
      <c r="F475" s="56"/>
    </row>
    <row r="476">
      <c r="A476" s="55"/>
      <c r="B476" s="36"/>
      <c r="C476" s="36"/>
      <c r="D476" s="36"/>
      <c r="E476" s="36"/>
      <c r="F476" s="56"/>
    </row>
    <row r="477">
      <c r="A477" s="55"/>
      <c r="B477" s="36"/>
      <c r="C477" s="36"/>
      <c r="D477" s="36"/>
      <c r="E477" s="36"/>
      <c r="F477" s="56"/>
    </row>
    <row r="478">
      <c r="A478" s="55"/>
      <c r="B478" s="36"/>
      <c r="C478" s="36"/>
      <c r="D478" s="36"/>
      <c r="E478" s="36"/>
      <c r="F478" s="56"/>
    </row>
    <row r="479">
      <c r="A479" s="55"/>
      <c r="B479" s="36"/>
      <c r="C479" s="36"/>
      <c r="D479" s="36"/>
      <c r="E479" s="36"/>
      <c r="F479" s="56"/>
    </row>
    <row r="480">
      <c r="A480" s="55"/>
      <c r="B480" s="36"/>
      <c r="C480" s="36"/>
      <c r="D480" s="36"/>
      <c r="E480" s="36"/>
      <c r="F480" s="56"/>
    </row>
    <row r="481">
      <c r="A481" s="55"/>
      <c r="B481" s="36"/>
      <c r="C481" s="36"/>
      <c r="D481" s="36"/>
      <c r="E481" s="36"/>
      <c r="F481" s="56"/>
    </row>
    <row r="482">
      <c r="A482" s="55"/>
      <c r="B482" s="36"/>
      <c r="C482" s="36"/>
      <c r="D482" s="36"/>
      <c r="E482" s="36"/>
      <c r="F482" s="56"/>
    </row>
    <row r="483">
      <c r="A483" s="55"/>
      <c r="B483" s="36"/>
      <c r="C483" s="36"/>
      <c r="D483" s="36"/>
      <c r="E483" s="36"/>
      <c r="F483" s="56"/>
    </row>
    <row r="484">
      <c r="A484" s="55"/>
      <c r="B484" s="36"/>
      <c r="C484" s="36"/>
      <c r="D484" s="36"/>
      <c r="E484" s="36"/>
      <c r="F484" s="56"/>
    </row>
    <row r="485">
      <c r="A485" s="55"/>
      <c r="B485" s="36"/>
      <c r="C485" s="36"/>
      <c r="D485" s="36"/>
      <c r="E485" s="36"/>
      <c r="F485" s="56"/>
    </row>
    <row r="486">
      <c r="A486" s="55"/>
      <c r="B486" s="36"/>
      <c r="C486" s="36"/>
      <c r="D486" s="36"/>
      <c r="E486" s="36"/>
      <c r="F486" s="56"/>
    </row>
    <row r="487">
      <c r="A487" s="55"/>
      <c r="B487" s="36"/>
      <c r="C487" s="36"/>
      <c r="D487" s="36"/>
      <c r="E487" s="36"/>
      <c r="F487" s="56"/>
    </row>
    <row r="488">
      <c r="A488" s="55"/>
      <c r="B488" s="36"/>
      <c r="C488" s="36"/>
      <c r="D488" s="36"/>
      <c r="E488" s="36"/>
      <c r="F488" s="56"/>
    </row>
    <row r="489">
      <c r="A489" s="55"/>
      <c r="B489" s="36"/>
      <c r="C489" s="36"/>
      <c r="D489" s="36"/>
      <c r="E489" s="36"/>
      <c r="F489" s="56"/>
    </row>
    <row r="490">
      <c r="A490" s="55"/>
      <c r="B490" s="36"/>
      <c r="C490" s="36"/>
      <c r="D490" s="36"/>
      <c r="E490" s="36"/>
      <c r="F490" s="56"/>
    </row>
    <row r="491">
      <c r="A491" s="55"/>
      <c r="B491" s="36"/>
      <c r="C491" s="36"/>
      <c r="D491" s="36"/>
      <c r="E491" s="36"/>
      <c r="F491" s="56"/>
    </row>
    <row r="492">
      <c r="A492" s="55"/>
      <c r="B492" s="36"/>
      <c r="C492" s="36"/>
      <c r="D492" s="36"/>
      <c r="E492" s="36"/>
      <c r="F492" s="56"/>
    </row>
    <row r="493">
      <c r="A493" s="55"/>
      <c r="B493" s="36"/>
      <c r="C493" s="36"/>
      <c r="D493" s="36"/>
      <c r="E493" s="36"/>
      <c r="F493" s="56"/>
    </row>
    <row r="494">
      <c r="A494" s="55"/>
      <c r="B494" s="36"/>
      <c r="C494" s="36"/>
      <c r="D494" s="36"/>
      <c r="E494" s="36"/>
      <c r="F494" s="56"/>
    </row>
    <row r="495">
      <c r="A495" s="55"/>
      <c r="B495" s="36"/>
      <c r="C495" s="36"/>
      <c r="D495" s="36"/>
      <c r="E495" s="36"/>
      <c r="F495" s="56"/>
    </row>
    <row r="496">
      <c r="A496" s="55"/>
      <c r="B496" s="36"/>
      <c r="C496" s="36"/>
      <c r="D496" s="36"/>
      <c r="E496" s="36"/>
      <c r="F496" s="56"/>
    </row>
    <row r="497">
      <c r="A497" s="55"/>
      <c r="B497" s="36"/>
      <c r="C497" s="36"/>
      <c r="D497" s="36"/>
      <c r="E497" s="36"/>
      <c r="F497" s="56"/>
    </row>
    <row r="498">
      <c r="A498" s="55"/>
      <c r="B498" s="36"/>
      <c r="C498" s="36"/>
      <c r="D498" s="36"/>
      <c r="E498" s="36"/>
      <c r="F498" s="56"/>
    </row>
    <row r="499">
      <c r="A499" s="55"/>
      <c r="B499" s="36"/>
      <c r="C499" s="36"/>
      <c r="D499" s="36"/>
      <c r="E499" s="36"/>
      <c r="F499" s="56"/>
    </row>
    <row r="500">
      <c r="A500" s="55"/>
      <c r="B500" s="36"/>
      <c r="C500" s="36"/>
      <c r="D500" s="36"/>
      <c r="E500" s="36"/>
      <c r="F500" s="56"/>
    </row>
    <row r="501">
      <c r="A501" s="55"/>
      <c r="B501" s="36"/>
      <c r="C501" s="36"/>
      <c r="D501" s="36"/>
      <c r="E501" s="36"/>
      <c r="F501" s="56"/>
    </row>
    <row r="502">
      <c r="A502" s="55"/>
      <c r="B502" s="36"/>
      <c r="C502" s="36"/>
      <c r="D502" s="36"/>
      <c r="E502" s="36"/>
      <c r="F502" s="56"/>
    </row>
    <row r="503">
      <c r="A503" s="55"/>
      <c r="B503" s="36"/>
      <c r="C503" s="36"/>
      <c r="D503" s="36"/>
      <c r="E503" s="36"/>
      <c r="F503" s="56"/>
    </row>
    <row r="504">
      <c r="A504" s="55"/>
      <c r="B504" s="36"/>
      <c r="C504" s="36"/>
      <c r="D504" s="36"/>
      <c r="E504" s="36"/>
      <c r="F504" s="56"/>
    </row>
    <row r="505">
      <c r="A505" s="55"/>
      <c r="B505" s="36"/>
      <c r="C505" s="36"/>
      <c r="D505" s="36"/>
      <c r="E505" s="36"/>
      <c r="F505" s="56"/>
    </row>
    <row r="506">
      <c r="A506" s="55"/>
      <c r="B506" s="36"/>
      <c r="C506" s="36"/>
      <c r="D506" s="36"/>
      <c r="E506" s="36"/>
      <c r="F506" s="56"/>
    </row>
    <row r="507">
      <c r="A507" s="55"/>
      <c r="B507" s="36"/>
      <c r="C507" s="36"/>
      <c r="D507" s="36"/>
      <c r="E507" s="36"/>
      <c r="F507" s="56"/>
    </row>
    <row r="508">
      <c r="A508" s="55"/>
      <c r="B508" s="36"/>
      <c r="C508" s="36"/>
      <c r="D508" s="36"/>
      <c r="E508" s="36"/>
      <c r="F508" s="56"/>
    </row>
    <row r="509">
      <c r="A509" s="55"/>
      <c r="B509" s="36"/>
      <c r="C509" s="36"/>
      <c r="D509" s="36"/>
      <c r="E509" s="36"/>
      <c r="F509" s="56"/>
    </row>
    <row r="510">
      <c r="A510" s="55"/>
      <c r="B510" s="36"/>
      <c r="C510" s="36"/>
      <c r="D510" s="36"/>
      <c r="E510" s="36"/>
      <c r="F510" s="56"/>
    </row>
    <row r="511">
      <c r="A511" s="55"/>
      <c r="B511" s="36"/>
      <c r="C511" s="36"/>
      <c r="D511" s="36"/>
      <c r="E511" s="36"/>
      <c r="F511" s="56"/>
    </row>
    <row r="512">
      <c r="A512" s="55"/>
      <c r="B512" s="36"/>
      <c r="C512" s="36"/>
      <c r="D512" s="36"/>
      <c r="E512" s="36"/>
      <c r="F512" s="56"/>
    </row>
    <row r="513">
      <c r="A513" s="55"/>
      <c r="B513" s="36"/>
      <c r="C513" s="36"/>
      <c r="D513" s="36"/>
      <c r="E513" s="36"/>
      <c r="F513" s="56"/>
    </row>
    <row r="514">
      <c r="A514" s="55"/>
      <c r="B514" s="36"/>
      <c r="C514" s="36"/>
      <c r="D514" s="36"/>
      <c r="E514" s="36"/>
      <c r="F514" s="56"/>
    </row>
    <row r="515">
      <c r="A515" s="55"/>
      <c r="B515" s="36"/>
      <c r="C515" s="36"/>
      <c r="D515" s="36"/>
      <c r="E515" s="36"/>
      <c r="F515" s="56"/>
    </row>
    <row r="516">
      <c r="A516" s="55"/>
      <c r="B516" s="36"/>
      <c r="C516" s="36"/>
      <c r="D516" s="36"/>
      <c r="E516" s="36"/>
      <c r="F516" s="56"/>
    </row>
    <row r="517">
      <c r="A517" s="55"/>
      <c r="B517" s="36"/>
      <c r="C517" s="36"/>
      <c r="D517" s="36"/>
      <c r="E517" s="36"/>
      <c r="F517" s="56"/>
    </row>
    <row r="518">
      <c r="A518" s="55"/>
      <c r="B518" s="36"/>
      <c r="C518" s="36"/>
      <c r="D518" s="36"/>
      <c r="E518" s="36"/>
      <c r="F518" s="56"/>
    </row>
    <row r="519">
      <c r="A519" s="55"/>
      <c r="B519" s="36"/>
      <c r="C519" s="36"/>
      <c r="D519" s="36"/>
      <c r="E519" s="36"/>
      <c r="F519" s="56"/>
    </row>
    <row r="520">
      <c r="A520" s="55"/>
      <c r="B520" s="36"/>
      <c r="C520" s="36"/>
      <c r="D520" s="36"/>
      <c r="E520" s="36"/>
      <c r="F520" s="56"/>
    </row>
    <row r="521">
      <c r="A521" s="55"/>
      <c r="B521" s="36"/>
      <c r="C521" s="36"/>
      <c r="D521" s="36"/>
      <c r="E521" s="36"/>
      <c r="F521" s="56"/>
    </row>
    <row r="522">
      <c r="A522" s="55"/>
      <c r="B522" s="36"/>
      <c r="C522" s="36"/>
      <c r="D522" s="36"/>
      <c r="E522" s="36"/>
      <c r="F522" s="56"/>
    </row>
    <row r="523">
      <c r="A523" s="55"/>
      <c r="B523" s="36"/>
      <c r="C523" s="36"/>
      <c r="D523" s="36"/>
      <c r="E523" s="36"/>
      <c r="F523" s="56"/>
    </row>
    <row r="524">
      <c r="A524" s="55"/>
      <c r="B524" s="36"/>
      <c r="C524" s="36"/>
      <c r="D524" s="36"/>
      <c r="E524" s="36"/>
      <c r="F524" s="56"/>
    </row>
    <row r="525">
      <c r="A525" s="55"/>
      <c r="B525" s="36"/>
      <c r="C525" s="36"/>
      <c r="D525" s="36"/>
      <c r="E525" s="36"/>
      <c r="F525" s="56"/>
    </row>
    <row r="526">
      <c r="A526" s="55"/>
      <c r="B526" s="36"/>
      <c r="C526" s="36"/>
      <c r="D526" s="36"/>
      <c r="E526" s="36"/>
      <c r="F526" s="56"/>
    </row>
    <row r="527">
      <c r="A527" s="55"/>
      <c r="B527" s="36"/>
      <c r="C527" s="36"/>
      <c r="D527" s="36"/>
      <c r="E527" s="36"/>
      <c r="F527" s="56"/>
    </row>
    <row r="528">
      <c r="A528" s="55"/>
      <c r="B528" s="36"/>
      <c r="C528" s="36"/>
      <c r="D528" s="36"/>
      <c r="E528" s="36"/>
      <c r="F528" s="56"/>
    </row>
    <row r="529">
      <c r="A529" s="55"/>
      <c r="B529" s="36"/>
      <c r="C529" s="36"/>
      <c r="D529" s="36"/>
      <c r="E529" s="36"/>
      <c r="F529" s="56"/>
    </row>
    <row r="530">
      <c r="A530" s="55"/>
      <c r="B530" s="36"/>
      <c r="C530" s="36"/>
      <c r="D530" s="36"/>
      <c r="E530" s="36"/>
      <c r="F530" s="56"/>
    </row>
    <row r="531">
      <c r="A531" s="55"/>
      <c r="B531" s="36"/>
      <c r="C531" s="36"/>
      <c r="D531" s="36"/>
      <c r="E531" s="36"/>
      <c r="F531" s="56"/>
    </row>
    <row r="532">
      <c r="A532" s="55"/>
      <c r="B532" s="36"/>
      <c r="C532" s="36"/>
      <c r="D532" s="36"/>
      <c r="E532" s="36"/>
      <c r="F532" s="56"/>
    </row>
    <row r="533">
      <c r="A533" s="55"/>
      <c r="B533" s="36"/>
      <c r="C533" s="36"/>
      <c r="D533" s="36"/>
      <c r="E533" s="36"/>
      <c r="F533" s="56"/>
    </row>
    <row r="534">
      <c r="A534" s="55"/>
      <c r="B534" s="36"/>
      <c r="C534" s="36"/>
      <c r="D534" s="36"/>
      <c r="E534" s="36"/>
      <c r="F534" s="56"/>
    </row>
    <row r="535">
      <c r="A535" s="55"/>
      <c r="B535" s="36"/>
      <c r="C535" s="36"/>
      <c r="D535" s="36"/>
      <c r="E535" s="36"/>
      <c r="F535" s="56"/>
    </row>
    <row r="536">
      <c r="A536" s="55"/>
      <c r="B536" s="36"/>
      <c r="C536" s="36"/>
      <c r="D536" s="36"/>
      <c r="E536" s="36"/>
      <c r="F536" s="56"/>
    </row>
    <row r="537">
      <c r="A537" s="55"/>
      <c r="B537" s="36"/>
      <c r="C537" s="36"/>
      <c r="D537" s="36"/>
      <c r="E537" s="36"/>
      <c r="F537" s="56"/>
    </row>
    <row r="538">
      <c r="A538" s="55"/>
      <c r="B538" s="36"/>
      <c r="C538" s="36"/>
      <c r="D538" s="36"/>
      <c r="E538" s="36"/>
      <c r="F538" s="56"/>
    </row>
    <row r="539">
      <c r="A539" s="55"/>
      <c r="B539" s="36"/>
      <c r="C539" s="36"/>
      <c r="D539" s="36"/>
      <c r="E539" s="36"/>
      <c r="F539" s="56"/>
    </row>
    <row r="540">
      <c r="A540" s="55"/>
      <c r="B540" s="36"/>
      <c r="C540" s="36"/>
      <c r="D540" s="36"/>
      <c r="E540" s="36"/>
      <c r="F540" s="56"/>
    </row>
    <row r="541">
      <c r="A541" s="55"/>
      <c r="B541" s="36"/>
      <c r="C541" s="36"/>
      <c r="D541" s="36"/>
      <c r="E541" s="36"/>
      <c r="F541" s="56"/>
    </row>
    <row r="542">
      <c r="A542" s="55"/>
      <c r="B542" s="36"/>
      <c r="C542" s="36"/>
      <c r="D542" s="36"/>
      <c r="E542" s="36"/>
      <c r="F542" s="56"/>
    </row>
    <row r="543">
      <c r="A543" s="55"/>
      <c r="B543" s="36"/>
      <c r="C543" s="36"/>
      <c r="D543" s="36"/>
      <c r="E543" s="36"/>
      <c r="F543" s="56"/>
    </row>
    <row r="544">
      <c r="A544" s="55"/>
      <c r="B544" s="36"/>
      <c r="C544" s="36"/>
      <c r="D544" s="36"/>
      <c r="E544" s="36"/>
      <c r="F544" s="56"/>
    </row>
    <row r="545">
      <c r="A545" s="55"/>
      <c r="B545" s="36"/>
      <c r="C545" s="36"/>
      <c r="D545" s="36"/>
      <c r="E545" s="36"/>
      <c r="F545" s="56"/>
    </row>
    <row r="546">
      <c r="A546" s="55"/>
      <c r="B546" s="36"/>
      <c r="C546" s="36"/>
      <c r="D546" s="36"/>
      <c r="E546" s="36"/>
      <c r="F546" s="56"/>
    </row>
    <row r="547">
      <c r="A547" s="55"/>
      <c r="B547" s="36"/>
      <c r="C547" s="36"/>
      <c r="D547" s="36"/>
      <c r="E547" s="36"/>
      <c r="F547" s="56"/>
    </row>
    <row r="548">
      <c r="A548" s="55"/>
      <c r="B548" s="36"/>
      <c r="C548" s="36"/>
      <c r="D548" s="36"/>
      <c r="E548" s="36"/>
      <c r="F548" s="56"/>
    </row>
    <row r="549">
      <c r="A549" s="55"/>
      <c r="B549" s="36"/>
      <c r="C549" s="36"/>
      <c r="D549" s="36"/>
      <c r="E549" s="36"/>
      <c r="F549" s="56"/>
    </row>
    <row r="550">
      <c r="A550" s="55"/>
      <c r="B550" s="36"/>
      <c r="C550" s="36"/>
      <c r="D550" s="36"/>
      <c r="E550" s="36"/>
      <c r="F550" s="56"/>
    </row>
    <row r="551">
      <c r="A551" s="55"/>
      <c r="B551" s="36"/>
      <c r="C551" s="36"/>
      <c r="D551" s="36"/>
      <c r="E551" s="36"/>
      <c r="F551" s="56"/>
    </row>
    <row r="552">
      <c r="A552" s="55"/>
      <c r="B552" s="36"/>
      <c r="C552" s="36"/>
      <c r="D552" s="36"/>
      <c r="E552" s="36"/>
      <c r="F552" s="56"/>
    </row>
    <row r="553">
      <c r="A553" s="55"/>
      <c r="B553" s="36"/>
      <c r="C553" s="36"/>
      <c r="D553" s="36"/>
      <c r="E553" s="36"/>
      <c r="F553" s="56"/>
    </row>
    <row r="554">
      <c r="A554" s="55"/>
      <c r="B554" s="36"/>
      <c r="C554" s="36"/>
      <c r="D554" s="36"/>
      <c r="E554" s="36"/>
      <c r="F554" s="56"/>
    </row>
    <row r="555">
      <c r="A555" s="55"/>
      <c r="B555" s="36"/>
      <c r="C555" s="36"/>
      <c r="D555" s="36"/>
      <c r="E555" s="36"/>
      <c r="F555" s="56"/>
    </row>
    <row r="556">
      <c r="A556" s="55"/>
      <c r="B556" s="36"/>
      <c r="C556" s="36"/>
      <c r="D556" s="36"/>
      <c r="E556" s="36"/>
      <c r="F556" s="56"/>
    </row>
    <row r="557">
      <c r="A557" s="55"/>
      <c r="B557" s="36"/>
      <c r="C557" s="36"/>
      <c r="D557" s="36"/>
      <c r="E557" s="36"/>
      <c r="F557" s="56"/>
    </row>
    <row r="558">
      <c r="A558" s="55"/>
      <c r="B558" s="36"/>
      <c r="C558" s="36"/>
      <c r="D558" s="36"/>
      <c r="E558" s="36"/>
      <c r="F558" s="56"/>
    </row>
    <row r="559">
      <c r="A559" s="55"/>
      <c r="B559" s="36"/>
      <c r="C559" s="36"/>
      <c r="D559" s="36"/>
      <c r="E559" s="36"/>
      <c r="F559" s="56"/>
    </row>
    <row r="560">
      <c r="A560" s="55"/>
      <c r="B560" s="36"/>
      <c r="C560" s="36"/>
      <c r="D560" s="36"/>
      <c r="E560" s="36"/>
      <c r="F560" s="56"/>
    </row>
    <row r="561">
      <c r="A561" s="55"/>
      <c r="B561" s="36"/>
      <c r="C561" s="36"/>
      <c r="D561" s="36"/>
      <c r="E561" s="36"/>
      <c r="F561" s="56"/>
    </row>
    <row r="562">
      <c r="A562" s="55"/>
      <c r="B562" s="36"/>
      <c r="C562" s="36"/>
      <c r="D562" s="36"/>
      <c r="E562" s="36"/>
      <c r="F562" s="56"/>
    </row>
    <row r="563">
      <c r="A563" s="55"/>
      <c r="B563" s="36"/>
      <c r="C563" s="36"/>
      <c r="D563" s="36"/>
      <c r="E563" s="36"/>
      <c r="F563" s="56"/>
    </row>
    <row r="564">
      <c r="A564" s="55"/>
      <c r="B564" s="36"/>
      <c r="C564" s="36"/>
      <c r="D564" s="36"/>
      <c r="E564" s="36"/>
      <c r="F564" s="56"/>
    </row>
    <row r="565">
      <c r="A565" s="55"/>
      <c r="B565" s="36"/>
      <c r="C565" s="36"/>
      <c r="D565" s="36"/>
      <c r="E565" s="36"/>
      <c r="F565" s="56"/>
    </row>
    <row r="566">
      <c r="A566" s="55"/>
      <c r="B566" s="36"/>
      <c r="C566" s="36"/>
      <c r="D566" s="36"/>
      <c r="E566" s="36"/>
      <c r="F566" s="56"/>
    </row>
    <row r="567">
      <c r="A567" s="55"/>
      <c r="B567" s="36"/>
      <c r="C567" s="36"/>
      <c r="D567" s="36"/>
      <c r="E567" s="36"/>
      <c r="F567" s="56"/>
    </row>
    <row r="568">
      <c r="A568" s="55"/>
      <c r="B568" s="36"/>
      <c r="C568" s="36"/>
      <c r="D568" s="36"/>
      <c r="E568" s="36"/>
      <c r="F568" s="56"/>
    </row>
    <row r="569">
      <c r="A569" s="55"/>
      <c r="B569" s="36"/>
      <c r="C569" s="36"/>
      <c r="D569" s="36"/>
      <c r="E569" s="36"/>
      <c r="F569" s="56"/>
    </row>
    <row r="570">
      <c r="A570" s="55"/>
      <c r="B570" s="36"/>
      <c r="C570" s="36"/>
      <c r="D570" s="36"/>
      <c r="E570" s="36"/>
      <c r="F570" s="56"/>
    </row>
    <row r="571">
      <c r="A571" s="55"/>
      <c r="B571" s="36"/>
      <c r="C571" s="36"/>
      <c r="D571" s="36"/>
      <c r="E571" s="36"/>
      <c r="F571" s="56"/>
    </row>
    <row r="572">
      <c r="A572" s="55"/>
      <c r="B572" s="36"/>
      <c r="C572" s="36"/>
      <c r="D572" s="36"/>
      <c r="E572" s="36"/>
      <c r="F572" s="56"/>
    </row>
    <row r="573">
      <c r="A573" s="55"/>
      <c r="B573" s="36"/>
      <c r="C573" s="36"/>
      <c r="D573" s="36"/>
      <c r="E573" s="36"/>
      <c r="F573" s="56"/>
    </row>
    <row r="574">
      <c r="A574" s="55"/>
      <c r="B574" s="36"/>
      <c r="C574" s="36"/>
      <c r="D574" s="36"/>
      <c r="E574" s="36"/>
      <c r="F574" s="56"/>
    </row>
    <row r="575">
      <c r="A575" s="55"/>
      <c r="B575" s="36"/>
      <c r="C575" s="36"/>
      <c r="D575" s="36"/>
      <c r="E575" s="36"/>
      <c r="F575" s="56"/>
    </row>
    <row r="576">
      <c r="A576" s="55"/>
      <c r="B576" s="36"/>
      <c r="C576" s="36"/>
      <c r="D576" s="36"/>
      <c r="E576" s="36"/>
      <c r="F576" s="56"/>
    </row>
    <row r="577">
      <c r="A577" s="55"/>
      <c r="B577" s="36"/>
      <c r="C577" s="36"/>
      <c r="D577" s="36"/>
      <c r="E577" s="36"/>
      <c r="F577" s="56"/>
    </row>
    <row r="578">
      <c r="A578" s="55"/>
      <c r="B578" s="36"/>
      <c r="C578" s="36"/>
      <c r="D578" s="36"/>
      <c r="E578" s="36"/>
      <c r="F578" s="56"/>
    </row>
    <row r="579">
      <c r="A579" s="55"/>
      <c r="B579" s="36"/>
      <c r="C579" s="36"/>
      <c r="D579" s="36"/>
      <c r="E579" s="36"/>
      <c r="F579" s="56"/>
    </row>
    <row r="580">
      <c r="A580" s="55"/>
      <c r="B580" s="36"/>
      <c r="C580" s="36"/>
      <c r="D580" s="36"/>
      <c r="E580" s="36"/>
      <c r="F580" s="56"/>
    </row>
    <row r="581">
      <c r="A581" s="55"/>
      <c r="B581" s="36"/>
      <c r="C581" s="36"/>
      <c r="D581" s="36"/>
      <c r="E581" s="36"/>
      <c r="F581" s="56"/>
    </row>
    <row r="582">
      <c r="A582" s="55"/>
      <c r="B582" s="36"/>
      <c r="C582" s="36"/>
      <c r="D582" s="36"/>
      <c r="E582" s="36"/>
      <c r="F582" s="56"/>
    </row>
    <row r="583">
      <c r="A583" s="55"/>
      <c r="B583" s="36"/>
      <c r="C583" s="36"/>
      <c r="D583" s="36"/>
      <c r="E583" s="36"/>
      <c r="F583" s="56"/>
    </row>
    <row r="584">
      <c r="A584" s="55"/>
      <c r="B584" s="36"/>
      <c r="C584" s="36"/>
      <c r="D584" s="36"/>
      <c r="E584" s="36"/>
      <c r="F584" s="56"/>
    </row>
    <row r="585">
      <c r="A585" s="55"/>
      <c r="B585" s="36"/>
      <c r="C585" s="36"/>
      <c r="D585" s="36"/>
      <c r="E585" s="36"/>
      <c r="F585" s="56"/>
    </row>
    <row r="586">
      <c r="A586" s="55"/>
      <c r="B586" s="36"/>
      <c r="C586" s="36"/>
      <c r="D586" s="36"/>
      <c r="E586" s="36"/>
      <c r="F586" s="56"/>
    </row>
    <row r="587">
      <c r="A587" s="55"/>
      <c r="B587" s="36"/>
      <c r="C587" s="36"/>
      <c r="D587" s="36"/>
      <c r="E587" s="36"/>
      <c r="F587" s="56"/>
    </row>
    <row r="588">
      <c r="A588" s="55"/>
      <c r="B588" s="36"/>
      <c r="C588" s="36"/>
      <c r="D588" s="36"/>
      <c r="E588" s="36"/>
      <c r="F588" s="56"/>
    </row>
    <row r="589">
      <c r="A589" s="55"/>
      <c r="B589" s="36"/>
      <c r="C589" s="36"/>
      <c r="D589" s="36"/>
      <c r="E589" s="36"/>
      <c r="F589" s="56"/>
    </row>
    <row r="590">
      <c r="A590" s="55"/>
      <c r="B590" s="36"/>
      <c r="C590" s="36"/>
      <c r="D590" s="36"/>
      <c r="E590" s="36"/>
      <c r="F590" s="56"/>
    </row>
    <row r="591">
      <c r="A591" s="55"/>
      <c r="B591" s="36"/>
      <c r="C591" s="36"/>
      <c r="D591" s="36"/>
      <c r="E591" s="36"/>
      <c r="F591" s="56"/>
    </row>
    <row r="592">
      <c r="A592" s="55"/>
      <c r="B592" s="36"/>
      <c r="C592" s="36"/>
      <c r="D592" s="36"/>
      <c r="E592" s="36"/>
      <c r="F592" s="56"/>
    </row>
    <row r="593">
      <c r="A593" s="55"/>
      <c r="B593" s="36"/>
      <c r="C593" s="36"/>
      <c r="D593" s="36"/>
      <c r="E593" s="36"/>
      <c r="F593" s="56"/>
    </row>
    <row r="594">
      <c r="A594" s="55"/>
      <c r="B594" s="36"/>
      <c r="C594" s="36"/>
      <c r="D594" s="36"/>
      <c r="E594" s="36"/>
      <c r="F594" s="56"/>
    </row>
    <row r="595">
      <c r="A595" s="55"/>
      <c r="B595" s="36"/>
      <c r="C595" s="36"/>
      <c r="D595" s="36"/>
      <c r="E595" s="36"/>
      <c r="F595" s="56"/>
    </row>
    <row r="596">
      <c r="A596" s="55"/>
      <c r="B596" s="36"/>
      <c r="C596" s="36"/>
      <c r="D596" s="36"/>
      <c r="E596" s="36"/>
      <c r="F596" s="56"/>
    </row>
    <row r="597">
      <c r="A597" s="55"/>
      <c r="B597" s="36"/>
      <c r="C597" s="36"/>
      <c r="D597" s="36"/>
      <c r="E597" s="36"/>
      <c r="F597" s="56"/>
    </row>
    <row r="598">
      <c r="A598" s="55"/>
      <c r="B598" s="36"/>
      <c r="C598" s="36"/>
      <c r="D598" s="36"/>
      <c r="E598" s="36"/>
      <c r="F598" s="56"/>
    </row>
    <row r="599">
      <c r="A599" s="55"/>
      <c r="B599" s="36"/>
      <c r="C599" s="36"/>
      <c r="D599" s="36"/>
      <c r="E599" s="36"/>
      <c r="F599" s="56"/>
    </row>
    <row r="600">
      <c r="A600" s="55"/>
      <c r="B600" s="36"/>
      <c r="C600" s="36"/>
      <c r="D600" s="36"/>
      <c r="E600" s="36"/>
      <c r="F600" s="56"/>
    </row>
    <row r="601">
      <c r="A601" s="55"/>
      <c r="B601" s="36"/>
      <c r="C601" s="36"/>
      <c r="D601" s="36"/>
      <c r="E601" s="36"/>
      <c r="F601" s="56"/>
    </row>
    <row r="602">
      <c r="A602" s="55"/>
      <c r="B602" s="36"/>
      <c r="C602" s="36"/>
      <c r="D602" s="36"/>
      <c r="E602" s="36"/>
      <c r="F602" s="56"/>
    </row>
    <row r="603">
      <c r="A603" s="55"/>
      <c r="B603" s="36"/>
      <c r="C603" s="36"/>
      <c r="D603" s="36"/>
      <c r="E603" s="36"/>
      <c r="F603" s="56"/>
    </row>
    <row r="604">
      <c r="A604" s="55"/>
      <c r="B604" s="36"/>
      <c r="C604" s="36"/>
      <c r="D604" s="36"/>
      <c r="E604" s="36"/>
      <c r="F604" s="56"/>
    </row>
    <row r="605">
      <c r="A605" s="55"/>
      <c r="B605" s="36"/>
      <c r="C605" s="36"/>
      <c r="D605" s="36"/>
      <c r="E605" s="36"/>
      <c r="F605" s="56"/>
    </row>
    <row r="606">
      <c r="A606" s="55"/>
      <c r="B606" s="36"/>
      <c r="C606" s="36"/>
      <c r="D606" s="36"/>
      <c r="E606" s="36"/>
      <c r="F606" s="56"/>
    </row>
    <row r="607">
      <c r="A607" s="55"/>
      <c r="B607" s="36"/>
      <c r="C607" s="36"/>
      <c r="D607" s="36"/>
      <c r="E607" s="36"/>
      <c r="F607" s="56"/>
    </row>
    <row r="608">
      <c r="A608" s="55"/>
      <c r="B608" s="36"/>
      <c r="C608" s="36"/>
      <c r="D608" s="36"/>
      <c r="E608" s="36"/>
      <c r="F608" s="56"/>
    </row>
    <row r="609">
      <c r="A609" s="55"/>
      <c r="B609" s="36"/>
      <c r="C609" s="36"/>
      <c r="D609" s="36"/>
      <c r="E609" s="36"/>
      <c r="F609" s="56"/>
    </row>
    <row r="610">
      <c r="A610" s="55"/>
      <c r="B610" s="36"/>
      <c r="C610" s="36"/>
      <c r="D610" s="36"/>
      <c r="E610" s="36"/>
      <c r="F610" s="56"/>
    </row>
    <row r="611">
      <c r="A611" s="55"/>
      <c r="B611" s="36"/>
      <c r="C611" s="36"/>
      <c r="D611" s="36"/>
      <c r="E611" s="36"/>
      <c r="F611" s="56"/>
    </row>
    <row r="612">
      <c r="A612" s="55"/>
      <c r="B612" s="36"/>
      <c r="C612" s="36"/>
      <c r="D612" s="36"/>
      <c r="E612" s="36"/>
      <c r="F612" s="56"/>
    </row>
    <row r="613">
      <c r="A613" s="55"/>
      <c r="B613" s="36"/>
      <c r="C613" s="36"/>
      <c r="D613" s="36"/>
      <c r="E613" s="36"/>
      <c r="F613" s="56"/>
    </row>
    <row r="614">
      <c r="A614" s="55"/>
      <c r="B614" s="36"/>
      <c r="C614" s="36"/>
      <c r="D614" s="36"/>
      <c r="E614" s="36"/>
      <c r="F614" s="56"/>
    </row>
    <row r="615">
      <c r="A615" s="55"/>
      <c r="B615" s="36"/>
      <c r="C615" s="36"/>
      <c r="D615" s="36"/>
      <c r="E615" s="36"/>
      <c r="F615" s="56"/>
    </row>
    <row r="616">
      <c r="A616" s="55"/>
      <c r="B616" s="36"/>
      <c r="C616" s="36"/>
      <c r="D616" s="36"/>
      <c r="E616" s="36"/>
      <c r="F616" s="56"/>
    </row>
    <row r="617">
      <c r="A617" s="55"/>
      <c r="B617" s="36"/>
      <c r="C617" s="36"/>
      <c r="D617" s="36"/>
      <c r="E617" s="36"/>
      <c r="F617" s="56"/>
    </row>
    <row r="618">
      <c r="A618" s="55"/>
      <c r="B618" s="36"/>
      <c r="C618" s="36"/>
      <c r="D618" s="36"/>
      <c r="E618" s="36"/>
      <c r="F618" s="56"/>
    </row>
    <row r="619">
      <c r="A619" s="55"/>
      <c r="B619" s="36"/>
      <c r="C619" s="36"/>
      <c r="D619" s="36"/>
      <c r="E619" s="36"/>
      <c r="F619" s="56"/>
    </row>
    <row r="620">
      <c r="A620" s="55"/>
      <c r="B620" s="36"/>
      <c r="C620" s="36"/>
      <c r="D620" s="36"/>
      <c r="E620" s="36"/>
      <c r="F620" s="56"/>
    </row>
    <row r="621">
      <c r="A621" s="55"/>
      <c r="B621" s="36"/>
      <c r="C621" s="36"/>
      <c r="D621" s="36"/>
      <c r="E621" s="36"/>
      <c r="F621" s="56"/>
    </row>
    <row r="622">
      <c r="A622" s="55"/>
      <c r="B622" s="36"/>
      <c r="C622" s="36"/>
      <c r="D622" s="36"/>
      <c r="E622" s="36"/>
      <c r="F622" s="56"/>
    </row>
    <row r="623">
      <c r="A623" s="55"/>
      <c r="B623" s="36"/>
      <c r="C623" s="36"/>
      <c r="D623" s="36"/>
      <c r="E623" s="36"/>
      <c r="F623" s="56"/>
    </row>
    <row r="624">
      <c r="A624" s="55"/>
      <c r="B624" s="36"/>
      <c r="C624" s="36"/>
      <c r="D624" s="36"/>
      <c r="E624" s="36"/>
      <c r="F624" s="56"/>
    </row>
    <row r="625">
      <c r="A625" s="55"/>
      <c r="B625" s="36"/>
      <c r="C625" s="36"/>
      <c r="D625" s="36"/>
      <c r="E625" s="36"/>
      <c r="F625" s="56"/>
    </row>
    <row r="626">
      <c r="A626" s="55"/>
      <c r="B626" s="36"/>
      <c r="C626" s="36"/>
      <c r="D626" s="36"/>
      <c r="E626" s="36"/>
      <c r="F626" s="56"/>
    </row>
    <row r="627">
      <c r="A627" s="55"/>
      <c r="B627" s="36"/>
      <c r="C627" s="36"/>
      <c r="D627" s="36"/>
      <c r="E627" s="36"/>
      <c r="F627" s="56"/>
    </row>
    <row r="628">
      <c r="A628" s="55"/>
      <c r="B628" s="36"/>
      <c r="C628" s="36"/>
      <c r="D628" s="36"/>
      <c r="E628" s="36"/>
      <c r="F628" s="56"/>
    </row>
    <row r="629">
      <c r="A629" s="55"/>
      <c r="B629" s="36"/>
      <c r="C629" s="36"/>
      <c r="D629" s="36"/>
      <c r="E629" s="36"/>
      <c r="F629" s="56"/>
    </row>
    <row r="630">
      <c r="A630" s="55"/>
      <c r="B630" s="36"/>
      <c r="C630" s="36"/>
      <c r="D630" s="36"/>
      <c r="E630" s="36"/>
      <c r="F630" s="56"/>
    </row>
    <row r="631">
      <c r="A631" s="55"/>
      <c r="B631" s="36"/>
      <c r="C631" s="36"/>
      <c r="D631" s="36"/>
      <c r="E631" s="36"/>
      <c r="F631" s="56"/>
    </row>
    <row r="632">
      <c r="A632" s="55"/>
      <c r="B632" s="36"/>
      <c r="C632" s="36"/>
      <c r="D632" s="36"/>
      <c r="E632" s="36"/>
      <c r="F632" s="56"/>
    </row>
    <row r="633">
      <c r="A633" s="55"/>
      <c r="B633" s="36"/>
      <c r="C633" s="36"/>
      <c r="D633" s="36"/>
      <c r="E633" s="36"/>
      <c r="F633" s="56"/>
    </row>
    <row r="634">
      <c r="A634" s="55"/>
      <c r="B634" s="36"/>
      <c r="C634" s="36"/>
      <c r="D634" s="36"/>
      <c r="E634" s="36"/>
      <c r="F634" s="56"/>
    </row>
    <row r="635">
      <c r="A635" s="55"/>
      <c r="B635" s="36"/>
      <c r="C635" s="36"/>
      <c r="D635" s="36"/>
      <c r="E635" s="36"/>
      <c r="F635" s="56"/>
    </row>
    <row r="636">
      <c r="A636" s="55"/>
      <c r="B636" s="36"/>
      <c r="C636" s="36"/>
      <c r="D636" s="36"/>
      <c r="E636" s="36"/>
      <c r="F636" s="56"/>
    </row>
    <row r="637">
      <c r="A637" s="55"/>
      <c r="B637" s="36"/>
      <c r="C637" s="36"/>
      <c r="D637" s="36"/>
      <c r="E637" s="36"/>
      <c r="F637" s="56"/>
    </row>
    <row r="638">
      <c r="A638" s="55"/>
      <c r="B638" s="36"/>
      <c r="C638" s="36"/>
      <c r="D638" s="36"/>
      <c r="E638" s="36"/>
      <c r="F638" s="56"/>
    </row>
    <row r="639">
      <c r="A639" s="55"/>
      <c r="B639" s="36"/>
      <c r="C639" s="36"/>
      <c r="D639" s="36"/>
      <c r="E639" s="36"/>
      <c r="F639" s="56"/>
    </row>
    <row r="640">
      <c r="A640" s="55"/>
      <c r="B640" s="36"/>
      <c r="C640" s="36"/>
      <c r="D640" s="36"/>
      <c r="E640" s="36"/>
      <c r="F640" s="56"/>
    </row>
    <row r="641">
      <c r="A641" s="55"/>
      <c r="B641" s="36"/>
      <c r="C641" s="36"/>
      <c r="D641" s="36"/>
      <c r="E641" s="36"/>
      <c r="F641" s="56"/>
    </row>
    <row r="642">
      <c r="A642" s="55"/>
      <c r="B642" s="36"/>
      <c r="C642" s="36"/>
      <c r="D642" s="36"/>
      <c r="E642" s="36"/>
      <c r="F642" s="56"/>
    </row>
    <row r="643">
      <c r="A643" s="55"/>
      <c r="B643" s="36"/>
      <c r="C643" s="36"/>
      <c r="D643" s="36"/>
      <c r="E643" s="36"/>
      <c r="F643" s="56"/>
    </row>
    <row r="644">
      <c r="A644" s="55"/>
      <c r="B644" s="36"/>
      <c r="C644" s="36"/>
      <c r="D644" s="36"/>
      <c r="E644" s="36"/>
      <c r="F644" s="56"/>
    </row>
    <row r="645">
      <c r="A645" s="55"/>
      <c r="B645" s="36"/>
      <c r="C645" s="36"/>
      <c r="D645" s="36"/>
      <c r="E645" s="36"/>
      <c r="F645" s="56"/>
    </row>
    <row r="646">
      <c r="A646" s="55"/>
      <c r="B646" s="36"/>
      <c r="C646" s="36"/>
      <c r="D646" s="36"/>
      <c r="E646" s="36"/>
      <c r="F646" s="56"/>
    </row>
    <row r="647">
      <c r="A647" s="55"/>
      <c r="B647" s="36"/>
      <c r="C647" s="36"/>
      <c r="D647" s="36"/>
      <c r="E647" s="36"/>
      <c r="F647" s="56"/>
    </row>
    <row r="648">
      <c r="A648" s="55"/>
      <c r="B648" s="36"/>
      <c r="C648" s="36"/>
      <c r="D648" s="36"/>
      <c r="E648" s="36"/>
      <c r="F648" s="56"/>
    </row>
    <row r="649">
      <c r="A649" s="55"/>
      <c r="B649" s="36"/>
      <c r="C649" s="36"/>
      <c r="D649" s="36"/>
      <c r="E649" s="36"/>
      <c r="F649" s="56"/>
    </row>
    <row r="650">
      <c r="A650" s="55"/>
      <c r="B650" s="36"/>
      <c r="C650" s="36"/>
      <c r="D650" s="36"/>
      <c r="E650" s="36"/>
      <c r="F650" s="56"/>
    </row>
    <row r="651">
      <c r="A651" s="55"/>
      <c r="B651" s="36"/>
      <c r="C651" s="36"/>
      <c r="D651" s="36"/>
      <c r="E651" s="36"/>
      <c r="F651" s="56"/>
    </row>
    <row r="652">
      <c r="A652" s="55"/>
      <c r="B652" s="36"/>
      <c r="C652" s="36"/>
      <c r="D652" s="36"/>
      <c r="E652" s="36"/>
      <c r="F652" s="56"/>
    </row>
    <row r="653">
      <c r="A653" s="55"/>
      <c r="B653" s="36"/>
      <c r="C653" s="36"/>
      <c r="D653" s="36"/>
      <c r="E653" s="36"/>
      <c r="F653" s="56"/>
    </row>
    <row r="654">
      <c r="A654" s="55"/>
      <c r="B654" s="36"/>
      <c r="C654" s="36"/>
      <c r="D654" s="36"/>
      <c r="E654" s="36"/>
      <c r="F654" s="56"/>
    </row>
    <row r="655">
      <c r="A655" s="55"/>
      <c r="B655" s="36"/>
      <c r="C655" s="36"/>
      <c r="D655" s="36"/>
      <c r="E655" s="36"/>
      <c r="F655" s="56"/>
    </row>
    <row r="656">
      <c r="A656" s="55"/>
      <c r="B656" s="36"/>
      <c r="C656" s="36"/>
      <c r="D656" s="36"/>
      <c r="E656" s="36"/>
      <c r="F656" s="56"/>
    </row>
    <row r="657">
      <c r="A657" s="55"/>
      <c r="B657" s="36"/>
      <c r="C657" s="36"/>
      <c r="D657" s="36"/>
      <c r="E657" s="36"/>
      <c r="F657" s="56"/>
    </row>
    <row r="658">
      <c r="A658" s="55"/>
      <c r="B658" s="36"/>
      <c r="C658" s="36"/>
      <c r="D658" s="36"/>
      <c r="E658" s="36"/>
      <c r="F658" s="56"/>
    </row>
    <row r="659">
      <c r="A659" s="55"/>
      <c r="B659" s="36"/>
      <c r="C659" s="36"/>
      <c r="D659" s="36"/>
      <c r="E659" s="36"/>
      <c r="F659" s="56"/>
    </row>
    <row r="660">
      <c r="A660" s="55"/>
      <c r="B660" s="36"/>
      <c r="C660" s="36"/>
      <c r="D660" s="36"/>
      <c r="E660" s="36"/>
      <c r="F660" s="56"/>
    </row>
    <row r="661">
      <c r="A661" s="55"/>
      <c r="B661" s="36"/>
      <c r="C661" s="36"/>
      <c r="D661" s="36"/>
      <c r="E661" s="36"/>
      <c r="F661" s="56"/>
    </row>
    <row r="662">
      <c r="A662" s="55"/>
      <c r="B662" s="36"/>
      <c r="C662" s="36"/>
      <c r="D662" s="36"/>
      <c r="E662" s="36"/>
      <c r="F662" s="56"/>
    </row>
    <row r="663">
      <c r="A663" s="55"/>
      <c r="B663" s="36"/>
      <c r="C663" s="36"/>
      <c r="D663" s="36"/>
      <c r="E663" s="36"/>
      <c r="F663" s="56"/>
    </row>
    <row r="664">
      <c r="A664" s="55"/>
      <c r="B664" s="36"/>
      <c r="C664" s="36"/>
      <c r="D664" s="36"/>
      <c r="E664" s="36"/>
      <c r="F664" s="56"/>
    </row>
    <row r="665">
      <c r="A665" s="55"/>
      <c r="B665" s="36"/>
      <c r="C665" s="36"/>
      <c r="D665" s="36"/>
      <c r="E665" s="36"/>
      <c r="F665" s="56"/>
    </row>
    <row r="666">
      <c r="A666" s="55"/>
      <c r="B666" s="36"/>
      <c r="C666" s="36"/>
      <c r="D666" s="36"/>
      <c r="E666" s="36"/>
      <c r="F666" s="56"/>
    </row>
    <row r="667">
      <c r="A667" s="55"/>
      <c r="B667" s="36"/>
      <c r="C667" s="36"/>
      <c r="D667" s="36"/>
      <c r="E667" s="36"/>
      <c r="F667" s="56"/>
    </row>
    <row r="668">
      <c r="A668" s="55"/>
      <c r="B668" s="36"/>
      <c r="C668" s="36"/>
      <c r="D668" s="36"/>
      <c r="E668" s="36"/>
      <c r="F668" s="56"/>
    </row>
    <row r="669">
      <c r="A669" s="55"/>
      <c r="B669" s="36"/>
      <c r="C669" s="36"/>
      <c r="D669" s="36"/>
      <c r="E669" s="36"/>
      <c r="F669" s="56"/>
    </row>
    <row r="670">
      <c r="A670" s="55"/>
      <c r="B670" s="36"/>
      <c r="C670" s="36"/>
      <c r="D670" s="36"/>
      <c r="E670" s="36"/>
      <c r="F670" s="56"/>
    </row>
    <row r="671">
      <c r="A671" s="55"/>
      <c r="B671" s="36"/>
      <c r="C671" s="36"/>
      <c r="D671" s="36"/>
      <c r="E671" s="36"/>
      <c r="F671" s="56"/>
    </row>
    <row r="672">
      <c r="A672" s="55"/>
      <c r="B672" s="36"/>
      <c r="C672" s="36"/>
      <c r="D672" s="36"/>
      <c r="E672" s="36"/>
      <c r="F672" s="56"/>
    </row>
    <row r="673">
      <c r="A673" s="55"/>
      <c r="B673" s="36"/>
      <c r="C673" s="36"/>
      <c r="D673" s="36"/>
      <c r="E673" s="36"/>
      <c r="F673" s="56"/>
    </row>
    <row r="674">
      <c r="A674" s="55"/>
      <c r="B674" s="36"/>
      <c r="C674" s="36"/>
      <c r="D674" s="36"/>
      <c r="E674" s="36"/>
      <c r="F674" s="56"/>
    </row>
    <row r="675">
      <c r="A675" s="55"/>
      <c r="B675" s="36"/>
      <c r="C675" s="36"/>
      <c r="D675" s="36"/>
      <c r="E675" s="36"/>
      <c r="F675" s="56"/>
    </row>
    <row r="676">
      <c r="A676" s="55"/>
      <c r="B676" s="36"/>
      <c r="C676" s="36"/>
      <c r="D676" s="36"/>
      <c r="E676" s="36"/>
      <c r="F676" s="56"/>
    </row>
    <row r="677">
      <c r="A677" s="55"/>
      <c r="B677" s="36"/>
      <c r="C677" s="36"/>
      <c r="D677" s="36"/>
      <c r="E677" s="36"/>
      <c r="F677" s="56"/>
    </row>
    <row r="678">
      <c r="A678" s="55"/>
      <c r="B678" s="36"/>
      <c r="C678" s="36"/>
      <c r="D678" s="36"/>
      <c r="E678" s="36"/>
      <c r="F678" s="56"/>
    </row>
    <row r="679">
      <c r="A679" s="55"/>
      <c r="B679" s="36"/>
      <c r="C679" s="36"/>
      <c r="D679" s="36"/>
      <c r="E679" s="36"/>
      <c r="F679" s="56"/>
    </row>
    <row r="680">
      <c r="A680" s="55"/>
      <c r="B680" s="36"/>
      <c r="C680" s="36"/>
      <c r="D680" s="36"/>
      <c r="E680" s="36"/>
      <c r="F680" s="56"/>
    </row>
    <row r="681">
      <c r="A681" s="55"/>
      <c r="B681" s="36"/>
      <c r="C681" s="36"/>
      <c r="D681" s="36"/>
      <c r="E681" s="36"/>
      <c r="F681" s="56"/>
    </row>
    <row r="682">
      <c r="A682" s="55"/>
      <c r="B682" s="36"/>
      <c r="C682" s="36"/>
      <c r="D682" s="36"/>
      <c r="E682" s="36"/>
      <c r="F682" s="56"/>
    </row>
    <row r="683">
      <c r="A683" s="55"/>
      <c r="B683" s="36"/>
      <c r="C683" s="36"/>
      <c r="D683" s="36"/>
      <c r="E683" s="36"/>
      <c r="F683" s="56"/>
    </row>
    <row r="684">
      <c r="A684" s="55"/>
      <c r="B684" s="36"/>
      <c r="C684" s="36"/>
      <c r="D684" s="36"/>
      <c r="E684" s="36"/>
      <c r="F684" s="56"/>
    </row>
    <row r="685">
      <c r="A685" s="55"/>
      <c r="B685" s="36"/>
      <c r="C685" s="36"/>
      <c r="D685" s="36"/>
      <c r="E685" s="36"/>
      <c r="F685" s="56"/>
    </row>
    <row r="686">
      <c r="A686" s="55"/>
      <c r="B686" s="36"/>
      <c r="C686" s="36"/>
      <c r="D686" s="36"/>
      <c r="E686" s="36"/>
      <c r="F686" s="56"/>
    </row>
    <row r="687">
      <c r="A687" s="55"/>
      <c r="B687" s="36"/>
      <c r="C687" s="36"/>
      <c r="D687" s="36"/>
      <c r="E687" s="36"/>
      <c r="F687" s="56"/>
    </row>
    <row r="688">
      <c r="A688" s="55"/>
      <c r="B688" s="36"/>
      <c r="C688" s="36"/>
      <c r="D688" s="36"/>
      <c r="E688" s="36"/>
      <c r="F688" s="56"/>
    </row>
    <row r="689">
      <c r="A689" s="55"/>
      <c r="B689" s="36"/>
      <c r="C689" s="36"/>
      <c r="D689" s="36"/>
      <c r="E689" s="36"/>
      <c r="F689" s="56"/>
    </row>
    <row r="690">
      <c r="A690" s="55"/>
      <c r="B690" s="36"/>
      <c r="C690" s="36"/>
      <c r="D690" s="36"/>
      <c r="E690" s="36"/>
      <c r="F690" s="56"/>
    </row>
    <row r="691">
      <c r="A691" s="55"/>
      <c r="B691" s="36"/>
      <c r="C691" s="36"/>
      <c r="D691" s="36"/>
      <c r="E691" s="36"/>
      <c r="F691" s="56"/>
    </row>
    <row r="692">
      <c r="A692" s="55"/>
      <c r="B692" s="36"/>
      <c r="C692" s="36"/>
      <c r="D692" s="36"/>
      <c r="E692" s="36"/>
      <c r="F692" s="56"/>
    </row>
    <row r="693">
      <c r="A693" s="55"/>
      <c r="B693" s="36"/>
      <c r="C693" s="36"/>
      <c r="D693" s="36"/>
      <c r="E693" s="36"/>
      <c r="F693" s="56"/>
    </row>
    <row r="694">
      <c r="A694" s="55"/>
      <c r="B694" s="36"/>
      <c r="C694" s="36"/>
      <c r="D694" s="36"/>
      <c r="E694" s="36"/>
      <c r="F694" s="56"/>
    </row>
    <row r="695">
      <c r="A695" s="55"/>
      <c r="B695" s="36"/>
      <c r="C695" s="36"/>
      <c r="D695" s="36"/>
      <c r="E695" s="36"/>
      <c r="F695" s="56"/>
    </row>
    <row r="696">
      <c r="A696" s="55"/>
      <c r="B696" s="36"/>
      <c r="C696" s="36"/>
      <c r="D696" s="36"/>
      <c r="E696" s="36"/>
      <c r="F696" s="56"/>
    </row>
    <row r="697">
      <c r="A697" s="55"/>
      <c r="B697" s="36"/>
      <c r="C697" s="36"/>
      <c r="D697" s="36"/>
      <c r="E697" s="36"/>
      <c r="F697" s="56"/>
    </row>
    <row r="698">
      <c r="A698" s="55"/>
      <c r="B698" s="36"/>
      <c r="C698" s="36"/>
      <c r="D698" s="36"/>
      <c r="E698" s="36"/>
      <c r="F698" s="56"/>
    </row>
    <row r="699">
      <c r="A699" s="55"/>
      <c r="B699" s="36"/>
      <c r="C699" s="36"/>
      <c r="D699" s="36"/>
      <c r="E699" s="36"/>
      <c r="F699" s="56"/>
    </row>
    <row r="700">
      <c r="A700" s="55"/>
      <c r="B700" s="36"/>
      <c r="C700" s="36"/>
      <c r="D700" s="36"/>
      <c r="E700" s="36"/>
      <c r="F700" s="56"/>
    </row>
    <row r="701">
      <c r="A701" s="55"/>
      <c r="B701" s="36"/>
      <c r="C701" s="36"/>
      <c r="D701" s="36"/>
      <c r="E701" s="36"/>
      <c r="F701" s="56"/>
    </row>
    <row r="702">
      <c r="A702" s="55"/>
      <c r="B702" s="36"/>
      <c r="C702" s="36"/>
      <c r="D702" s="36"/>
      <c r="E702" s="36"/>
      <c r="F702" s="56"/>
    </row>
    <row r="703">
      <c r="A703" s="55"/>
      <c r="B703" s="36"/>
      <c r="C703" s="36"/>
      <c r="D703" s="36"/>
      <c r="E703" s="36"/>
      <c r="F703" s="56"/>
    </row>
    <row r="704">
      <c r="A704" s="55"/>
      <c r="B704" s="36"/>
      <c r="C704" s="36"/>
      <c r="D704" s="36"/>
      <c r="E704" s="36"/>
      <c r="F704" s="56"/>
    </row>
    <row r="705">
      <c r="A705" s="55"/>
      <c r="B705" s="36"/>
      <c r="C705" s="36"/>
      <c r="D705" s="36"/>
      <c r="E705" s="36"/>
      <c r="F705" s="56"/>
    </row>
    <row r="706">
      <c r="A706" s="55"/>
      <c r="B706" s="36"/>
      <c r="C706" s="36"/>
      <c r="D706" s="36"/>
      <c r="E706" s="36"/>
      <c r="F706" s="56"/>
    </row>
    <row r="707">
      <c r="A707" s="55"/>
      <c r="B707" s="36"/>
      <c r="C707" s="36"/>
      <c r="D707" s="36"/>
      <c r="E707" s="36"/>
      <c r="F707" s="56"/>
    </row>
    <row r="708">
      <c r="A708" s="55"/>
      <c r="B708" s="36"/>
      <c r="C708" s="36"/>
      <c r="D708" s="36"/>
      <c r="E708" s="36"/>
      <c r="F708" s="56"/>
    </row>
    <row r="709">
      <c r="A709" s="55"/>
      <c r="B709" s="36"/>
      <c r="C709" s="36"/>
      <c r="D709" s="36"/>
      <c r="E709" s="36"/>
      <c r="F709" s="56"/>
    </row>
    <row r="710">
      <c r="A710" s="55"/>
      <c r="B710" s="36"/>
      <c r="C710" s="36"/>
      <c r="D710" s="36"/>
      <c r="E710" s="36"/>
      <c r="F710" s="56"/>
    </row>
    <row r="711">
      <c r="A711" s="55"/>
      <c r="B711" s="36"/>
      <c r="C711" s="36"/>
      <c r="D711" s="36"/>
      <c r="E711" s="36"/>
      <c r="F711" s="56"/>
    </row>
    <row r="712">
      <c r="A712" s="55"/>
      <c r="B712" s="36"/>
      <c r="C712" s="36"/>
      <c r="D712" s="36"/>
      <c r="E712" s="36"/>
      <c r="F712" s="56"/>
    </row>
    <row r="713">
      <c r="A713" s="55"/>
      <c r="B713" s="36"/>
      <c r="C713" s="36"/>
      <c r="D713" s="36"/>
      <c r="E713" s="36"/>
      <c r="F713" s="56"/>
    </row>
    <row r="714">
      <c r="A714" s="55"/>
      <c r="B714" s="36"/>
      <c r="C714" s="36"/>
      <c r="D714" s="36"/>
      <c r="E714" s="36"/>
      <c r="F714" s="56"/>
    </row>
    <row r="715">
      <c r="A715" s="55"/>
      <c r="B715" s="36"/>
      <c r="C715" s="36"/>
      <c r="D715" s="36"/>
      <c r="E715" s="36"/>
      <c r="F715" s="56"/>
    </row>
    <row r="716">
      <c r="A716" s="55"/>
      <c r="B716" s="36"/>
      <c r="C716" s="36"/>
      <c r="D716" s="36"/>
      <c r="E716" s="36"/>
      <c r="F716" s="56"/>
    </row>
    <row r="717">
      <c r="A717" s="55"/>
      <c r="B717" s="36"/>
      <c r="C717" s="36"/>
      <c r="D717" s="36"/>
      <c r="E717" s="36"/>
      <c r="F717" s="56"/>
    </row>
    <row r="718">
      <c r="A718" s="55"/>
      <c r="B718" s="36"/>
      <c r="C718" s="36"/>
      <c r="D718" s="36"/>
      <c r="E718" s="36"/>
      <c r="F718" s="56"/>
    </row>
    <row r="719">
      <c r="A719" s="55"/>
      <c r="B719" s="36"/>
      <c r="C719" s="36"/>
      <c r="D719" s="36"/>
      <c r="E719" s="36"/>
      <c r="F719" s="56"/>
    </row>
    <row r="720">
      <c r="A720" s="55"/>
      <c r="B720" s="36"/>
      <c r="C720" s="36"/>
      <c r="D720" s="36"/>
      <c r="E720" s="36"/>
      <c r="F720" s="56"/>
    </row>
    <row r="721">
      <c r="A721" s="55"/>
      <c r="B721" s="36"/>
      <c r="C721" s="36"/>
      <c r="D721" s="36"/>
      <c r="E721" s="36"/>
      <c r="F721" s="56"/>
    </row>
    <row r="722">
      <c r="A722" s="55"/>
      <c r="B722" s="36"/>
      <c r="C722" s="36"/>
      <c r="D722" s="36"/>
      <c r="E722" s="36"/>
      <c r="F722" s="56"/>
    </row>
    <row r="723">
      <c r="A723" s="55"/>
      <c r="B723" s="36"/>
      <c r="C723" s="36"/>
      <c r="D723" s="36"/>
      <c r="E723" s="36"/>
      <c r="F723" s="56"/>
    </row>
    <row r="724">
      <c r="A724" s="55"/>
      <c r="B724" s="36"/>
      <c r="C724" s="36"/>
      <c r="D724" s="36"/>
      <c r="E724" s="36"/>
      <c r="F724" s="56"/>
    </row>
    <row r="725">
      <c r="A725" s="55"/>
      <c r="B725" s="36"/>
      <c r="C725" s="36"/>
      <c r="D725" s="36"/>
      <c r="E725" s="36"/>
      <c r="F725" s="56"/>
    </row>
    <row r="726">
      <c r="A726" s="55"/>
      <c r="B726" s="36"/>
      <c r="C726" s="36"/>
      <c r="D726" s="36"/>
      <c r="E726" s="36"/>
      <c r="F726" s="56"/>
    </row>
    <row r="727">
      <c r="A727" s="55"/>
      <c r="B727" s="36"/>
      <c r="C727" s="36"/>
      <c r="D727" s="36"/>
      <c r="E727" s="36"/>
      <c r="F727" s="56"/>
    </row>
    <row r="728">
      <c r="A728" s="55"/>
      <c r="B728" s="36"/>
      <c r="C728" s="36"/>
      <c r="D728" s="36"/>
      <c r="E728" s="36"/>
      <c r="F728" s="56"/>
    </row>
    <row r="729">
      <c r="A729" s="55"/>
      <c r="B729" s="36"/>
      <c r="C729" s="36"/>
      <c r="D729" s="36"/>
      <c r="E729" s="36"/>
      <c r="F729" s="56"/>
    </row>
    <row r="730">
      <c r="A730" s="55"/>
      <c r="B730" s="36"/>
      <c r="C730" s="36"/>
      <c r="D730" s="36"/>
      <c r="E730" s="36"/>
      <c r="F730" s="56"/>
    </row>
    <row r="731">
      <c r="A731" s="55"/>
      <c r="B731" s="36"/>
      <c r="C731" s="36"/>
      <c r="D731" s="36"/>
      <c r="E731" s="36"/>
      <c r="F731" s="56"/>
    </row>
    <row r="732">
      <c r="A732" s="55"/>
      <c r="B732" s="36"/>
      <c r="C732" s="36"/>
      <c r="D732" s="36"/>
      <c r="E732" s="36"/>
      <c r="F732" s="56"/>
    </row>
    <row r="733">
      <c r="A733" s="55"/>
      <c r="B733" s="36"/>
      <c r="C733" s="36"/>
      <c r="D733" s="36"/>
      <c r="E733" s="36"/>
      <c r="F733" s="56"/>
    </row>
    <row r="734">
      <c r="A734" s="55"/>
      <c r="B734" s="36"/>
      <c r="C734" s="36"/>
      <c r="D734" s="36"/>
      <c r="E734" s="36"/>
      <c r="F734" s="56"/>
    </row>
    <row r="735">
      <c r="A735" s="55"/>
      <c r="B735" s="36"/>
      <c r="C735" s="36"/>
      <c r="D735" s="36"/>
      <c r="E735" s="36"/>
      <c r="F735" s="56"/>
    </row>
    <row r="736">
      <c r="A736" s="55"/>
      <c r="B736" s="36"/>
      <c r="C736" s="36"/>
      <c r="D736" s="36"/>
      <c r="E736" s="36"/>
      <c r="F736" s="56"/>
    </row>
    <row r="737">
      <c r="A737" s="55"/>
      <c r="B737" s="36"/>
      <c r="C737" s="36"/>
      <c r="D737" s="36"/>
      <c r="E737" s="36"/>
      <c r="F737" s="56"/>
    </row>
    <row r="738">
      <c r="A738" s="55"/>
      <c r="B738" s="36"/>
      <c r="C738" s="36"/>
      <c r="D738" s="36"/>
      <c r="E738" s="36"/>
      <c r="F738" s="56"/>
    </row>
    <row r="739">
      <c r="A739" s="55"/>
      <c r="B739" s="36"/>
      <c r="C739" s="36"/>
      <c r="D739" s="36"/>
      <c r="E739" s="36"/>
      <c r="F739" s="56"/>
    </row>
    <row r="740">
      <c r="A740" s="55"/>
      <c r="B740" s="36"/>
      <c r="C740" s="36"/>
      <c r="D740" s="36"/>
      <c r="E740" s="36"/>
      <c r="F740" s="56"/>
    </row>
    <row r="741">
      <c r="A741" s="55"/>
      <c r="B741" s="36"/>
      <c r="C741" s="36"/>
      <c r="D741" s="36"/>
      <c r="E741" s="36"/>
      <c r="F741" s="56"/>
    </row>
    <row r="742">
      <c r="A742" s="55"/>
      <c r="B742" s="36"/>
      <c r="C742" s="36"/>
      <c r="D742" s="36"/>
      <c r="E742" s="36"/>
      <c r="F742" s="56"/>
    </row>
    <row r="743">
      <c r="A743" s="55"/>
      <c r="B743" s="36"/>
      <c r="C743" s="36"/>
      <c r="D743" s="36"/>
      <c r="E743" s="36"/>
      <c r="F743" s="56"/>
    </row>
    <row r="744">
      <c r="A744" s="55"/>
      <c r="B744" s="36"/>
      <c r="C744" s="36"/>
      <c r="D744" s="36"/>
      <c r="E744" s="36"/>
      <c r="F744" s="56"/>
    </row>
    <row r="745">
      <c r="A745" s="55"/>
      <c r="B745" s="36"/>
      <c r="C745" s="36"/>
      <c r="D745" s="36"/>
      <c r="E745" s="36"/>
      <c r="F745" s="56"/>
    </row>
    <row r="746">
      <c r="A746" s="55"/>
      <c r="B746" s="36"/>
      <c r="C746" s="36"/>
      <c r="D746" s="36"/>
      <c r="E746" s="36"/>
      <c r="F746" s="56"/>
    </row>
    <row r="747">
      <c r="A747" s="55"/>
      <c r="B747" s="36"/>
      <c r="C747" s="36"/>
      <c r="D747" s="36"/>
      <c r="E747" s="36"/>
      <c r="F747" s="56"/>
    </row>
    <row r="748">
      <c r="A748" s="55"/>
      <c r="B748" s="36"/>
      <c r="C748" s="36"/>
      <c r="D748" s="36"/>
      <c r="E748" s="36"/>
      <c r="F748" s="56"/>
    </row>
    <row r="749">
      <c r="A749" s="55"/>
      <c r="B749" s="36"/>
      <c r="C749" s="36"/>
      <c r="D749" s="36"/>
      <c r="E749" s="36"/>
      <c r="F749" s="56"/>
    </row>
    <row r="750">
      <c r="A750" s="55"/>
      <c r="B750" s="36"/>
      <c r="C750" s="36"/>
      <c r="D750" s="36"/>
      <c r="E750" s="36"/>
      <c r="F750" s="56"/>
    </row>
    <row r="751">
      <c r="A751" s="55"/>
      <c r="B751" s="36"/>
      <c r="C751" s="36"/>
      <c r="D751" s="36"/>
      <c r="E751" s="36"/>
      <c r="F751" s="56"/>
    </row>
    <row r="752">
      <c r="A752" s="55"/>
      <c r="B752" s="36"/>
      <c r="C752" s="36"/>
      <c r="D752" s="36"/>
      <c r="E752" s="36"/>
      <c r="F752" s="56"/>
    </row>
    <row r="753">
      <c r="A753" s="55"/>
      <c r="B753" s="36"/>
      <c r="C753" s="36"/>
      <c r="D753" s="36"/>
      <c r="E753" s="36"/>
      <c r="F753" s="56"/>
    </row>
    <row r="754">
      <c r="A754" s="55"/>
      <c r="B754" s="36"/>
      <c r="C754" s="36"/>
      <c r="D754" s="36"/>
      <c r="E754" s="36"/>
      <c r="F754" s="56"/>
    </row>
    <row r="755">
      <c r="A755" s="55"/>
      <c r="B755" s="36"/>
      <c r="C755" s="36"/>
      <c r="D755" s="36"/>
      <c r="E755" s="36"/>
      <c r="F755" s="56"/>
    </row>
    <row r="756">
      <c r="A756" s="55"/>
      <c r="B756" s="36"/>
      <c r="C756" s="36"/>
      <c r="D756" s="36"/>
      <c r="E756" s="36"/>
      <c r="F756" s="56"/>
    </row>
    <row r="757">
      <c r="A757" s="55"/>
      <c r="B757" s="36"/>
      <c r="C757" s="36"/>
      <c r="D757" s="36"/>
      <c r="E757" s="36"/>
      <c r="F757" s="56"/>
    </row>
    <row r="758">
      <c r="A758" s="55"/>
      <c r="B758" s="36"/>
      <c r="C758" s="36"/>
      <c r="D758" s="36"/>
      <c r="E758" s="36"/>
      <c r="F758" s="56"/>
    </row>
    <row r="759">
      <c r="A759" s="55"/>
      <c r="B759" s="36"/>
      <c r="C759" s="36"/>
      <c r="D759" s="36"/>
      <c r="E759" s="36"/>
      <c r="F759" s="56"/>
    </row>
    <row r="760">
      <c r="A760" s="55"/>
      <c r="B760" s="36"/>
      <c r="C760" s="36"/>
      <c r="D760" s="36"/>
      <c r="E760" s="36"/>
      <c r="F760" s="56"/>
    </row>
    <row r="761">
      <c r="A761" s="55"/>
      <c r="B761" s="36"/>
      <c r="C761" s="36"/>
      <c r="D761" s="36"/>
      <c r="E761" s="36"/>
      <c r="F761" s="56"/>
    </row>
    <row r="762">
      <c r="A762" s="55"/>
      <c r="B762" s="36"/>
      <c r="C762" s="36"/>
      <c r="D762" s="36"/>
      <c r="E762" s="36"/>
      <c r="F762" s="56"/>
    </row>
    <row r="763">
      <c r="A763" s="55"/>
      <c r="B763" s="36"/>
      <c r="C763" s="36"/>
      <c r="D763" s="36"/>
      <c r="E763" s="36"/>
      <c r="F763" s="56"/>
    </row>
    <row r="764">
      <c r="A764" s="55"/>
      <c r="B764" s="36"/>
      <c r="C764" s="36"/>
      <c r="D764" s="36"/>
      <c r="E764" s="36"/>
      <c r="F764" s="56"/>
    </row>
    <row r="765">
      <c r="A765" s="55"/>
      <c r="B765" s="36"/>
      <c r="C765" s="36"/>
      <c r="D765" s="36"/>
      <c r="E765" s="36"/>
      <c r="F765" s="56"/>
    </row>
    <row r="766">
      <c r="A766" s="55"/>
      <c r="B766" s="36"/>
      <c r="C766" s="36"/>
      <c r="D766" s="36"/>
      <c r="E766" s="36"/>
      <c r="F766" s="56"/>
    </row>
    <row r="767">
      <c r="A767" s="55"/>
      <c r="B767" s="36"/>
      <c r="C767" s="36"/>
      <c r="D767" s="36"/>
      <c r="E767" s="36"/>
      <c r="F767" s="56"/>
    </row>
    <row r="768">
      <c r="A768" s="55"/>
      <c r="B768" s="36"/>
      <c r="C768" s="36"/>
      <c r="D768" s="36"/>
      <c r="E768" s="36"/>
      <c r="F768" s="56"/>
    </row>
    <row r="769">
      <c r="A769" s="55"/>
      <c r="B769" s="36"/>
      <c r="C769" s="36"/>
      <c r="D769" s="36"/>
      <c r="E769" s="36"/>
      <c r="F769" s="56"/>
    </row>
    <row r="770">
      <c r="A770" s="55"/>
      <c r="B770" s="36"/>
      <c r="C770" s="36"/>
      <c r="D770" s="36"/>
      <c r="E770" s="36"/>
      <c r="F770" s="56"/>
    </row>
    <row r="771">
      <c r="A771" s="55"/>
      <c r="B771" s="36"/>
      <c r="C771" s="36"/>
      <c r="D771" s="36"/>
      <c r="E771" s="36"/>
      <c r="F771" s="56"/>
    </row>
    <row r="772">
      <c r="A772" s="55"/>
      <c r="B772" s="36"/>
      <c r="C772" s="36"/>
      <c r="D772" s="36"/>
      <c r="E772" s="36"/>
      <c r="F772" s="56"/>
    </row>
    <row r="773">
      <c r="A773" s="55"/>
      <c r="B773" s="36"/>
      <c r="C773" s="36"/>
      <c r="D773" s="36"/>
      <c r="E773" s="36"/>
      <c r="F773" s="56"/>
    </row>
    <row r="774">
      <c r="A774" s="55"/>
      <c r="B774" s="36"/>
      <c r="C774" s="36"/>
      <c r="D774" s="36"/>
      <c r="E774" s="36"/>
      <c r="F774" s="56"/>
    </row>
    <row r="775">
      <c r="A775" s="55"/>
      <c r="B775" s="36"/>
      <c r="C775" s="36"/>
      <c r="D775" s="36"/>
      <c r="E775" s="36"/>
      <c r="F775" s="56"/>
    </row>
    <row r="776">
      <c r="A776" s="55"/>
      <c r="B776" s="36"/>
      <c r="C776" s="36"/>
      <c r="D776" s="36"/>
      <c r="E776" s="36"/>
      <c r="F776" s="56"/>
    </row>
    <row r="777">
      <c r="A777" s="55"/>
      <c r="B777" s="36"/>
      <c r="C777" s="36"/>
      <c r="D777" s="36"/>
      <c r="E777" s="36"/>
      <c r="F777" s="56"/>
    </row>
    <row r="778">
      <c r="A778" s="55"/>
      <c r="B778" s="36"/>
      <c r="C778" s="36"/>
      <c r="D778" s="36"/>
      <c r="E778" s="36"/>
      <c r="F778" s="56"/>
    </row>
    <row r="779">
      <c r="A779" s="55"/>
      <c r="B779" s="36"/>
      <c r="C779" s="36"/>
      <c r="D779" s="36"/>
      <c r="E779" s="36"/>
      <c r="F779" s="56"/>
    </row>
    <row r="780">
      <c r="A780" s="55"/>
      <c r="B780" s="36"/>
      <c r="C780" s="36"/>
      <c r="D780" s="36"/>
      <c r="E780" s="36"/>
      <c r="F780" s="56"/>
    </row>
    <row r="781">
      <c r="A781" s="55"/>
      <c r="B781" s="36"/>
      <c r="C781" s="36"/>
      <c r="D781" s="36"/>
      <c r="E781" s="36"/>
      <c r="F781" s="56"/>
    </row>
    <row r="782">
      <c r="A782" s="55"/>
      <c r="B782" s="36"/>
      <c r="C782" s="36"/>
      <c r="D782" s="36"/>
      <c r="E782" s="36"/>
      <c r="F782" s="56"/>
    </row>
    <row r="783">
      <c r="A783" s="55"/>
      <c r="B783" s="36"/>
      <c r="C783" s="36"/>
      <c r="D783" s="36"/>
      <c r="E783" s="36"/>
      <c r="F783" s="56"/>
    </row>
    <row r="784">
      <c r="A784" s="55"/>
      <c r="B784" s="36"/>
      <c r="C784" s="36"/>
      <c r="D784" s="36"/>
      <c r="E784" s="36"/>
      <c r="F784" s="56"/>
    </row>
    <row r="785">
      <c r="A785" s="55"/>
      <c r="B785" s="36"/>
      <c r="C785" s="36"/>
      <c r="D785" s="36"/>
      <c r="E785" s="36"/>
      <c r="F785" s="56"/>
    </row>
    <row r="786">
      <c r="A786" s="55"/>
      <c r="B786" s="36"/>
      <c r="C786" s="36"/>
      <c r="D786" s="36"/>
      <c r="E786" s="36"/>
      <c r="F786" s="56"/>
    </row>
    <row r="787">
      <c r="A787" s="55"/>
      <c r="B787" s="36"/>
      <c r="C787" s="36"/>
      <c r="D787" s="36"/>
      <c r="E787" s="36"/>
      <c r="F787" s="56"/>
    </row>
    <row r="788">
      <c r="A788" s="55"/>
      <c r="B788" s="36"/>
      <c r="C788" s="36"/>
      <c r="D788" s="36"/>
      <c r="E788" s="36"/>
      <c r="F788" s="56"/>
    </row>
    <row r="789">
      <c r="A789" s="55"/>
      <c r="B789" s="36"/>
      <c r="C789" s="36"/>
      <c r="D789" s="36"/>
      <c r="E789" s="36"/>
      <c r="F789" s="56"/>
    </row>
    <row r="790">
      <c r="A790" s="55"/>
      <c r="B790" s="36"/>
      <c r="C790" s="36"/>
      <c r="D790" s="36"/>
      <c r="E790" s="36"/>
      <c r="F790" s="56"/>
    </row>
    <row r="791">
      <c r="A791" s="55"/>
      <c r="B791" s="36"/>
      <c r="C791" s="36"/>
      <c r="D791" s="36"/>
      <c r="E791" s="36"/>
      <c r="F791" s="56"/>
    </row>
    <row r="792">
      <c r="A792" s="55"/>
      <c r="B792" s="36"/>
      <c r="C792" s="36"/>
      <c r="D792" s="36"/>
      <c r="E792" s="36"/>
      <c r="F792" s="56"/>
    </row>
    <row r="793">
      <c r="A793" s="55"/>
      <c r="B793" s="36"/>
      <c r="C793" s="36"/>
      <c r="D793" s="36"/>
      <c r="E793" s="36"/>
      <c r="F793" s="56"/>
    </row>
    <row r="794">
      <c r="A794" s="55"/>
      <c r="B794" s="36"/>
      <c r="C794" s="36"/>
      <c r="D794" s="36"/>
      <c r="E794" s="36"/>
      <c r="F794" s="56"/>
    </row>
    <row r="795">
      <c r="A795" s="55"/>
      <c r="B795" s="36"/>
      <c r="C795" s="36"/>
      <c r="D795" s="36"/>
      <c r="E795" s="36"/>
      <c r="F795" s="56"/>
    </row>
    <row r="796">
      <c r="A796" s="55"/>
      <c r="B796" s="36"/>
      <c r="C796" s="36"/>
      <c r="D796" s="36"/>
      <c r="E796" s="36"/>
      <c r="F796" s="56"/>
    </row>
    <row r="797">
      <c r="A797" s="55"/>
      <c r="B797" s="36"/>
      <c r="C797" s="36"/>
      <c r="D797" s="36"/>
      <c r="E797" s="36"/>
      <c r="F797" s="56"/>
    </row>
    <row r="798">
      <c r="A798" s="55"/>
      <c r="B798" s="36"/>
      <c r="C798" s="36"/>
      <c r="D798" s="36"/>
      <c r="E798" s="36"/>
      <c r="F798" s="56"/>
    </row>
    <row r="799">
      <c r="A799" s="55"/>
      <c r="B799" s="36"/>
      <c r="C799" s="36"/>
      <c r="D799" s="36"/>
      <c r="E799" s="36"/>
      <c r="F799" s="56"/>
    </row>
    <row r="800">
      <c r="A800" s="55"/>
      <c r="B800" s="36"/>
      <c r="C800" s="36"/>
      <c r="D800" s="36"/>
      <c r="E800" s="36"/>
      <c r="F800" s="56"/>
    </row>
    <row r="801">
      <c r="A801" s="55"/>
      <c r="B801" s="36"/>
      <c r="C801" s="36"/>
      <c r="D801" s="36"/>
      <c r="E801" s="36"/>
      <c r="F801" s="56"/>
    </row>
    <row r="802">
      <c r="A802" s="55"/>
      <c r="B802" s="36"/>
      <c r="C802" s="36"/>
      <c r="D802" s="36"/>
      <c r="E802" s="36"/>
      <c r="F802" s="56"/>
    </row>
    <row r="803">
      <c r="A803" s="55"/>
      <c r="B803" s="36"/>
      <c r="C803" s="36"/>
      <c r="D803" s="36"/>
      <c r="E803" s="36"/>
      <c r="F803" s="56"/>
    </row>
    <row r="804">
      <c r="A804" s="55"/>
      <c r="B804" s="36"/>
      <c r="C804" s="36"/>
      <c r="D804" s="36"/>
      <c r="E804" s="36"/>
      <c r="F804" s="56"/>
    </row>
    <row r="805">
      <c r="A805" s="55"/>
      <c r="B805" s="36"/>
      <c r="C805" s="36"/>
      <c r="D805" s="36"/>
      <c r="E805" s="36"/>
      <c r="F805" s="56"/>
    </row>
    <row r="806">
      <c r="A806" s="55"/>
      <c r="B806" s="36"/>
      <c r="C806" s="36"/>
      <c r="D806" s="36"/>
      <c r="E806" s="36"/>
      <c r="F806" s="56"/>
    </row>
    <row r="807">
      <c r="A807" s="55"/>
      <c r="B807" s="36"/>
      <c r="C807" s="36"/>
      <c r="D807" s="36"/>
      <c r="E807" s="36"/>
      <c r="F807" s="56"/>
    </row>
    <row r="808">
      <c r="A808" s="55"/>
      <c r="B808" s="36"/>
      <c r="C808" s="36"/>
      <c r="D808" s="36"/>
      <c r="E808" s="36"/>
      <c r="F808" s="56"/>
    </row>
    <row r="809">
      <c r="A809" s="55"/>
      <c r="B809" s="36"/>
      <c r="C809" s="36"/>
      <c r="D809" s="36"/>
      <c r="E809" s="36"/>
      <c r="F809" s="56"/>
    </row>
    <row r="810">
      <c r="A810" s="55"/>
      <c r="B810" s="36"/>
      <c r="C810" s="36"/>
      <c r="D810" s="36"/>
      <c r="E810" s="36"/>
      <c r="F810" s="56"/>
    </row>
    <row r="811">
      <c r="A811" s="55"/>
      <c r="B811" s="36"/>
      <c r="C811" s="36"/>
      <c r="D811" s="36"/>
      <c r="E811" s="36"/>
      <c r="F811" s="56"/>
    </row>
    <row r="812">
      <c r="A812" s="55"/>
      <c r="B812" s="36"/>
      <c r="C812" s="36"/>
      <c r="D812" s="36"/>
      <c r="E812" s="36"/>
      <c r="F812" s="56"/>
    </row>
    <row r="813">
      <c r="A813" s="55"/>
      <c r="B813" s="36"/>
      <c r="C813" s="36"/>
      <c r="D813" s="36"/>
      <c r="E813" s="36"/>
      <c r="F813" s="56"/>
    </row>
    <row r="814">
      <c r="A814" s="55"/>
      <c r="B814" s="36"/>
      <c r="C814" s="36"/>
      <c r="D814" s="36"/>
      <c r="E814" s="36"/>
      <c r="F814" s="56"/>
    </row>
    <row r="815">
      <c r="A815" s="55"/>
      <c r="B815" s="36"/>
      <c r="C815" s="36"/>
      <c r="D815" s="36"/>
      <c r="E815" s="36"/>
      <c r="F815" s="56"/>
    </row>
    <row r="816">
      <c r="A816" s="55"/>
      <c r="B816" s="36"/>
      <c r="C816" s="36"/>
      <c r="D816" s="36"/>
      <c r="E816" s="36"/>
      <c r="F816" s="56"/>
    </row>
    <row r="817">
      <c r="A817" s="55"/>
      <c r="B817" s="36"/>
      <c r="C817" s="36"/>
      <c r="D817" s="36"/>
      <c r="E817" s="36"/>
      <c r="F817" s="56"/>
    </row>
    <row r="818">
      <c r="A818" s="55"/>
      <c r="B818" s="36"/>
      <c r="C818" s="36"/>
      <c r="D818" s="36"/>
      <c r="E818" s="36"/>
      <c r="F818" s="56"/>
    </row>
    <row r="819">
      <c r="A819" s="55"/>
      <c r="B819" s="36"/>
      <c r="C819" s="36"/>
      <c r="D819" s="36"/>
      <c r="E819" s="36"/>
      <c r="F819" s="56"/>
    </row>
    <row r="820">
      <c r="A820" s="55"/>
      <c r="B820" s="36"/>
      <c r="C820" s="36"/>
      <c r="D820" s="36"/>
      <c r="E820" s="36"/>
      <c r="F820" s="56"/>
    </row>
    <row r="821">
      <c r="A821" s="55"/>
      <c r="B821" s="36"/>
      <c r="C821" s="36"/>
      <c r="D821" s="36"/>
      <c r="E821" s="36"/>
      <c r="F821" s="56"/>
    </row>
    <row r="822">
      <c r="A822" s="55"/>
      <c r="B822" s="36"/>
      <c r="C822" s="36"/>
      <c r="D822" s="36"/>
      <c r="E822" s="36"/>
      <c r="F822" s="56"/>
    </row>
    <row r="823">
      <c r="A823" s="55"/>
      <c r="B823" s="36"/>
      <c r="C823" s="36"/>
      <c r="D823" s="36"/>
      <c r="E823" s="36"/>
      <c r="F823" s="56"/>
    </row>
    <row r="824">
      <c r="A824" s="55"/>
      <c r="B824" s="36"/>
      <c r="C824" s="36"/>
      <c r="D824" s="36"/>
      <c r="E824" s="36"/>
      <c r="F824" s="56"/>
    </row>
    <row r="825">
      <c r="A825" s="55"/>
      <c r="B825" s="36"/>
      <c r="C825" s="36"/>
      <c r="D825" s="36"/>
      <c r="E825" s="36"/>
      <c r="F825" s="56"/>
    </row>
    <row r="826">
      <c r="A826" s="55"/>
      <c r="B826" s="36"/>
      <c r="C826" s="36"/>
      <c r="D826" s="36"/>
      <c r="E826" s="36"/>
      <c r="F826" s="56"/>
    </row>
    <row r="827">
      <c r="A827" s="55"/>
      <c r="B827" s="36"/>
      <c r="C827" s="36"/>
      <c r="D827" s="36"/>
      <c r="E827" s="36"/>
      <c r="F827" s="56"/>
    </row>
    <row r="828">
      <c r="A828" s="55"/>
      <c r="B828" s="36"/>
      <c r="C828" s="36"/>
      <c r="D828" s="36"/>
      <c r="E828" s="36"/>
      <c r="F828" s="56"/>
    </row>
    <row r="829">
      <c r="A829" s="55"/>
      <c r="B829" s="36"/>
      <c r="C829" s="36"/>
      <c r="D829" s="36"/>
      <c r="E829" s="36"/>
      <c r="F829" s="56"/>
    </row>
    <row r="830">
      <c r="A830" s="55"/>
      <c r="B830" s="36"/>
      <c r="C830" s="36"/>
      <c r="D830" s="36"/>
      <c r="E830" s="36"/>
      <c r="F830" s="56"/>
    </row>
    <row r="831">
      <c r="A831" s="55"/>
      <c r="B831" s="36"/>
      <c r="C831" s="36"/>
      <c r="D831" s="36"/>
      <c r="E831" s="36"/>
      <c r="F831" s="56"/>
    </row>
    <row r="832">
      <c r="A832" s="55"/>
      <c r="B832" s="36"/>
      <c r="C832" s="36"/>
      <c r="D832" s="36"/>
      <c r="E832" s="36"/>
      <c r="F832" s="56"/>
    </row>
    <row r="833">
      <c r="A833" s="55"/>
      <c r="B833" s="36"/>
      <c r="C833" s="36"/>
      <c r="D833" s="36"/>
      <c r="E833" s="36"/>
      <c r="F833" s="56"/>
    </row>
    <row r="834">
      <c r="A834" s="55"/>
      <c r="B834" s="36"/>
      <c r="C834" s="36"/>
      <c r="D834" s="36"/>
      <c r="E834" s="36"/>
      <c r="F834" s="56"/>
    </row>
    <row r="835">
      <c r="A835" s="55"/>
      <c r="B835" s="36"/>
      <c r="C835" s="36"/>
      <c r="D835" s="36"/>
      <c r="E835" s="36"/>
      <c r="F835" s="56"/>
    </row>
    <row r="836">
      <c r="A836" s="55"/>
      <c r="B836" s="36"/>
      <c r="C836" s="36"/>
      <c r="D836" s="36"/>
      <c r="E836" s="36"/>
      <c r="F836" s="56"/>
    </row>
    <row r="837">
      <c r="A837" s="55"/>
      <c r="B837" s="36"/>
      <c r="C837" s="36"/>
      <c r="D837" s="36"/>
      <c r="E837" s="36"/>
      <c r="F837" s="56"/>
    </row>
    <row r="838">
      <c r="A838" s="55"/>
      <c r="B838" s="36"/>
      <c r="C838" s="36"/>
      <c r="D838" s="36"/>
      <c r="E838" s="36"/>
      <c r="F838" s="56"/>
    </row>
    <row r="839">
      <c r="A839" s="55"/>
      <c r="B839" s="36"/>
      <c r="C839" s="36"/>
      <c r="D839" s="36"/>
      <c r="E839" s="36"/>
      <c r="F839" s="56"/>
    </row>
    <row r="840">
      <c r="A840" s="55"/>
      <c r="B840" s="36"/>
      <c r="C840" s="36"/>
      <c r="D840" s="36"/>
      <c r="E840" s="36"/>
      <c r="F840" s="56"/>
    </row>
    <row r="841">
      <c r="A841" s="55"/>
      <c r="B841" s="36"/>
      <c r="C841" s="36"/>
      <c r="D841" s="36"/>
      <c r="E841" s="36"/>
      <c r="F841" s="56"/>
    </row>
    <row r="842">
      <c r="A842" s="55"/>
      <c r="B842" s="36"/>
      <c r="C842" s="36"/>
      <c r="D842" s="36"/>
      <c r="E842" s="36"/>
      <c r="F842" s="56"/>
    </row>
    <row r="843">
      <c r="A843" s="55"/>
      <c r="B843" s="36"/>
      <c r="C843" s="36"/>
      <c r="D843" s="36"/>
      <c r="E843" s="36"/>
      <c r="F843" s="56"/>
    </row>
    <row r="844">
      <c r="A844" s="55"/>
      <c r="B844" s="36"/>
      <c r="C844" s="36"/>
      <c r="D844" s="36"/>
      <c r="E844" s="36"/>
      <c r="F844" s="56"/>
    </row>
    <row r="845">
      <c r="A845" s="55"/>
      <c r="B845" s="36"/>
      <c r="C845" s="36"/>
      <c r="D845" s="36"/>
      <c r="E845" s="36"/>
      <c r="F845" s="56"/>
    </row>
    <row r="846">
      <c r="A846" s="55"/>
      <c r="B846" s="36"/>
      <c r="C846" s="36"/>
      <c r="D846" s="36"/>
      <c r="E846" s="36"/>
      <c r="F846" s="56"/>
    </row>
    <row r="847">
      <c r="A847" s="55"/>
      <c r="B847" s="36"/>
      <c r="C847" s="36"/>
      <c r="D847" s="36"/>
      <c r="E847" s="36"/>
      <c r="F847" s="56"/>
    </row>
    <row r="848">
      <c r="A848" s="55"/>
      <c r="B848" s="36"/>
      <c r="C848" s="36"/>
      <c r="D848" s="36"/>
      <c r="E848" s="36"/>
      <c r="F848" s="56"/>
    </row>
    <row r="849">
      <c r="A849" s="55"/>
      <c r="B849" s="36"/>
      <c r="C849" s="36"/>
      <c r="D849" s="36"/>
      <c r="E849" s="36"/>
      <c r="F849" s="56"/>
    </row>
    <row r="850">
      <c r="A850" s="55"/>
      <c r="B850" s="36"/>
      <c r="C850" s="36"/>
      <c r="D850" s="36"/>
      <c r="E850" s="36"/>
      <c r="F850" s="56"/>
    </row>
    <row r="851">
      <c r="A851" s="55"/>
      <c r="B851" s="36"/>
      <c r="C851" s="36"/>
      <c r="D851" s="36"/>
      <c r="E851" s="36"/>
      <c r="F851" s="56"/>
    </row>
    <row r="852">
      <c r="A852" s="55"/>
      <c r="B852" s="36"/>
      <c r="C852" s="36"/>
      <c r="D852" s="36"/>
      <c r="E852" s="36"/>
      <c r="F852" s="56"/>
    </row>
    <row r="853">
      <c r="A853" s="55"/>
      <c r="B853" s="36"/>
      <c r="C853" s="36"/>
      <c r="D853" s="36"/>
      <c r="E853" s="36"/>
      <c r="F853" s="56"/>
    </row>
    <row r="854">
      <c r="A854" s="55"/>
      <c r="B854" s="36"/>
      <c r="C854" s="36"/>
      <c r="D854" s="36"/>
      <c r="E854" s="36"/>
      <c r="F854" s="56"/>
    </row>
    <row r="855">
      <c r="A855" s="55"/>
      <c r="B855" s="36"/>
      <c r="C855" s="36"/>
      <c r="D855" s="36"/>
      <c r="E855" s="36"/>
      <c r="F855" s="56"/>
    </row>
    <row r="856">
      <c r="A856" s="55"/>
      <c r="B856" s="36"/>
      <c r="C856" s="36"/>
      <c r="D856" s="36"/>
      <c r="E856" s="36"/>
      <c r="F856" s="56"/>
    </row>
    <row r="857">
      <c r="A857" s="55"/>
      <c r="B857" s="36"/>
      <c r="C857" s="36"/>
      <c r="D857" s="36"/>
      <c r="E857" s="36"/>
      <c r="F857" s="56"/>
    </row>
    <row r="858">
      <c r="A858" s="55"/>
      <c r="B858" s="36"/>
      <c r="C858" s="36"/>
      <c r="D858" s="36"/>
      <c r="E858" s="36"/>
      <c r="F858" s="56"/>
    </row>
    <row r="859">
      <c r="A859" s="55"/>
      <c r="B859" s="36"/>
      <c r="C859" s="36"/>
      <c r="D859" s="36"/>
      <c r="E859" s="36"/>
      <c r="F859" s="56"/>
    </row>
    <row r="860">
      <c r="A860" s="55"/>
      <c r="B860" s="36"/>
      <c r="C860" s="36"/>
      <c r="D860" s="36"/>
      <c r="E860" s="36"/>
      <c r="F860" s="56"/>
    </row>
    <row r="861">
      <c r="A861" s="55"/>
      <c r="B861" s="36"/>
      <c r="C861" s="36"/>
      <c r="D861" s="36"/>
      <c r="E861" s="36"/>
      <c r="F861" s="56"/>
    </row>
    <row r="862">
      <c r="A862" s="55"/>
      <c r="B862" s="36"/>
      <c r="C862" s="36"/>
      <c r="D862" s="36"/>
      <c r="E862" s="36"/>
      <c r="F862" s="56"/>
    </row>
    <row r="863">
      <c r="A863" s="55"/>
      <c r="B863" s="36"/>
      <c r="C863" s="36"/>
      <c r="D863" s="36"/>
      <c r="E863" s="36"/>
      <c r="F863" s="56"/>
    </row>
    <row r="864">
      <c r="A864" s="55"/>
      <c r="B864" s="36"/>
      <c r="C864" s="36"/>
      <c r="D864" s="36"/>
      <c r="E864" s="36"/>
      <c r="F864" s="56"/>
    </row>
    <row r="865">
      <c r="A865" s="55"/>
      <c r="B865" s="36"/>
      <c r="C865" s="36"/>
      <c r="D865" s="36"/>
      <c r="E865" s="36"/>
      <c r="F865" s="56"/>
    </row>
    <row r="866">
      <c r="A866" s="55"/>
      <c r="B866" s="36"/>
      <c r="C866" s="36"/>
      <c r="D866" s="36"/>
      <c r="E866" s="36"/>
      <c r="F866" s="56"/>
    </row>
    <row r="867">
      <c r="A867" s="55"/>
      <c r="B867" s="36"/>
      <c r="C867" s="36"/>
      <c r="D867" s="36"/>
      <c r="E867" s="36"/>
      <c r="F867" s="56"/>
    </row>
    <row r="868">
      <c r="A868" s="55"/>
      <c r="B868" s="36"/>
      <c r="C868" s="36"/>
      <c r="D868" s="36"/>
      <c r="E868" s="36"/>
      <c r="F868" s="56"/>
    </row>
    <row r="869">
      <c r="A869" s="55"/>
      <c r="B869" s="36"/>
      <c r="C869" s="36"/>
      <c r="D869" s="36"/>
      <c r="E869" s="36"/>
      <c r="F869" s="56"/>
    </row>
    <row r="870">
      <c r="A870" s="55"/>
      <c r="B870" s="36"/>
      <c r="C870" s="36"/>
      <c r="D870" s="36"/>
      <c r="E870" s="36"/>
      <c r="F870" s="56"/>
    </row>
    <row r="871">
      <c r="A871" s="55"/>
      <c r="B871" s="36"/>
      <c r="C871" s="36"/>
      <c r="D871" s="36"/>
      <c r="E871" s="36"/>
      <c r="F871" s="56"/>
    </row>
    <row r="872">
      <c r="A872" s="55"/>
      <c r="B872" s="36"/>
      <c r="C872" s="36"/>
      <c r="D872" s="36"/>
      <c r="E872" s="36"/>
      <c r="F872" s="56"/>
    </row>
    <row r="873">
      <c r="A873" s="55"/>
      <c r="B873" s="36"/>
      <c r="C873" s="36"/>
      <c r="D873" s="36"/>
      <c r="E873" s="36"/>
      <c r="F873" s="56"/>
    </row>
    <row r="874">
      <c r="A874" s="55"/>
      <c r="B874" s="36"/>
      <c r="C874" s="36"/>
      <c r="D874" s="36"/>
      <c r="E874" s="36"/>
      <c r="F874" s="56"/>
    </row>
    <row r="875">
      <c r="A875" s="55"/>
      <c r="B875" s="36"/>
      <c r="C875" s="36"/>
      <c r="D875" s="36"/>
      <c r="E875" s="36"/>
      <c r="F875" s="56"/>
    </row>
    <row r="876">
      <c r="A876" s="55"/>
      <c r="B876" s="36"/>
      <c r="C876" s="36"/>
      <c r="D876" s="36"/>
      <c r="E876" s="36"/>
      <c r="F876" s="56"/>
    </row>
    <row r="877">
      <c r="A877" s="55"/>
      <c r="B877" s="36"/>
      <c r="C877" s="36"/>
      <c r="D877" s="36"/>
      <c r="E877" s="36"/>
      <c r="F877" s="56"/>
    </row>
    <row r="878">
      <c r="A878" s="55"/>
      <c r="B878" s="36"/>
      <c r="C878" s="36"/>
      <c r="D878" s="36"/>
      <c r="E878" s="36"/>
      <c r="F878" s="56"/>
    </row>
    <row r="879">
      <c r="A879" s="55"/>
      <c r="B879" s="36"/>
      <c r="C879" s="36"/>
      <c r="D879" s="36"/>
      <c r="E879" s="36"/>
      <c r="F879" s="56"/>
    </row>
    <row r="880">
      <c r="A880" s="55"/>
      <c r="B880" s="36"/>
      <c r="C880" s="36"/>
      <c r="D880" s="36"/>
      <c r="E880" s="36"/>
      <c r="F880" s="56"/>
    </row>
    <row r="881">
      <c r="A881" s="55"/>
      <c r="B881" s="36"/>
      <c r="C881" s="36"/>
      <c r="D881" s="36"/>
      <c r="E881" s="36"/>
      <c r="F881" s="56"/>
    </row>
    <row r="882">
      <c r="A882" s="55"/>
      <c r="B882" s="36"/>
      <c r="C882" s="36"/>
      <c r="D882" s="36"/>
      <c r="E882" s="36"/>
      <c r="F882" s="56"/>
    </row>
    <row r="883">
      <c r="A883" s="55"/>
      <c r="B883" s="36"/>
      <c r="C883" s="36"/>
      <c r="D883" s="36"/>
      <c r="E883" s="36"/>
      <c r="F883" s="56"/>
    </row>
    <row r="884">
      <c r="A884" s="55"/>
      <c r="B884" s="36"/>
      <c r="C884" s="36"/>
      <c r="D884" s="36"/>
      <c r="E884" s="36"/>
      <c r="F884" s="56"/>
    </row>
    <row r="885">
      <c r="A885" s="55"/>
      <c r="B885" s="36"/>
      <c r="C885" s="36"/>
      <c r="D885" s="36"/>
      <c r="E885" s="36"/>
      <c r="F885" s="56"/>
    </row>
    <row r="886">
      <c r="A886" s="55"/>
      <c r="B886" s="36"/>
      <c r="C886" s="36"/>
      <c r="D886" s="36"/>
      <c r="E886" s="36"/>
      <c r="F886" s="56"/>
    </row>
    <row r="887">
      <c r="A887" s="55"/>
      <c r="B887" s="36"/>
      <c r="C887" s="36"/>
      <c r="D887" s="36"/>
      <c r="E887" s="36"/>
      <c r="F887" s="56"/>
    </row>
    <row r="888">
      <c r="A888" s="55"/>
      <c r="B888" s="36"/>
      <c r="C888" s="36"/>
      <c r="D888" s="36"/>
      <c r="E888" s="36"/>
      <c r="F888" s="56"/>
    </row>
    <row r="889">
      <c r="A889" s="55"/>
      <c r="B889" s="36"/>
      <c r="C889" s="36"/>
      <c r="D889" s="36"/>
      <c r="E889" s="36"/>
      <c r="F889" s="56"/>
    </row>
    <row r="890">
      <c r="A890" s="55"/>
      <c r="B890" s="36"/>
      <c r="C890" s="36"/>
      <c r="D890" s="36"/>
      <c r="E890" s="36"/>
      <c r="F890" s="56"/>
    </row>
    <row r="891">
      <c r="A891" s="55"/>
      <c r="B891" s="36"/>
      <c r="C891" s="36"/>
      <c r="D891" s="36"/>
      <c r="E891" s="36"/>
      <c r="F891" s="56"/>
    </row>
    <row r="892">
      <c r="A892" s="55"/>
      <c r="B892" s="36"/>
      <c r="C892" s="36"/>
      <c r="D892" s="36"/>
      <c r="E892" s="36"/>
      <c r="F892" s="56"/>
    </row>
    <row r="893">
      <c r="A893" s="55"/>
      <c r="B893" s="36"/>
      <c r="C893" s="36"/>
      <c r="D893" s="36"/>
      <c r="E893" s="36"/>
      <c r="F893" s="56"/>
    </row>
    <row r="894">
      <c r="A894" s="55"/>
      <c r="B894" s="36"/>
      <c r="C894" s="36"/>
      <c r="D894" s="36"/>
      <c r="E894" s="36"/>
      <c r="F894" s="56"/>
    </row>
    <row r="895">
      <c r="A895" s="55"/>
      <c r="B895" s="36"/>
      <c r="C895" s="36"/>
      <c r="D895" s="36"/>
      <c r="E895" s="36"/>
      <c r="F895" s="56"/>
    </row>
    <row r="896">
      <c r="A896" s="55"/>
      <c r="B896" s="36"/>
      <c r="C896" s="36"/>
      <c r="D896" s="36"/>
      <c r="E896" s="36"/>
      <c r="F896" s="56"/>
    </row>
    <row r="897">
      <c r="A897" s="55"/>
      <c r="B897" s="36"/>
      <c r="C897" s="36"/>
      <c r="D897" s="36"/>
      <c r="E897" s="36"/>
      <c r="F897" s="56"/>
    </row>
    <row r="898">
      <c r="A898" s="55"/>
      <c r="B898" s="36"/>
      <c r="C898" s="36"/>
      <c r="D898" s="36"/>
      <c r="E898" s="36"/>
      <c r="F898" s="56"/>
    </row>
    <row r="899">
      <c r="A899" s="55"/>
      <c r="B899" s="36"/>
      <c r="C899" s="36"/>
      <c r="D899" s="36"/>
      <c r="E899" s="36"/>
      <c r="F899" s="56"/>
    </row>
    <row r="900">
      <c r="A900" s="55"/>
      <c r="B900" s="36"/>
      <c r="C900" s="36"/>
      <c r="D900" s="36"/>
      <c r="E900" s="36"/>
      <c r="F900" s="56"/>
    </row>
    <row r="901">
      <c r="A901" s="55"/>
      <c r="B901" s="36"/>
      <c r="C901" s="36"/>
      <c r="D901" s="36"/>
      <c r="E901" s="36"/>
      <c r="F901" s="56"/>
    </row>
    <row r="902">
      <c r="A902" s="55"/>
      <c r="B902" s="36"/>
      <c r="C902" s="36"/>
      <c r="D902" s="36"/>
      <c r="E902" s="36"/>
      <c r="F902" s="56"/>
    </row>
    <row r="903">
      <c r="A903" s="55"/>
      <c r="B903" s="36"/>
      <c r="C903" s="36"/>
      <c r="D903" s="36"/>
      <c r="E903" s="36"/>
      <c r="F903" s="56"/>
    </row>
    <row r="904">
      <c r="A904" s="55"/>
      <c r="B904" s="36"/>
      <c r="C904" s="36"/>
      <c r="D904" s="36"/>
      <c r="E904" s="36"/>
      <c r="F904" s="56"/>
    </row>
    <row r="905">
      <c r="A905" s="55"/>
      <c r="B905" s="36"/>
      <c r="C905" s="36"/>
      <c r="D905" s="36"/>
      <c r="E905" s="36"/>
      <c r="F905" s="56"/>
    </row>
    <row r="906">
      <c r="A906" s="55"/>
      <c r="B906" s="36"/>
      <c r="C906" s="36"/>
      <c r="D906" s="36"/>
      <c r="E906" s="36"/>
      <c r="F906" s="56"/>
    </row>
    <row r="907">
      <c r="A907" s="55"/>
      <c r="B907" s="36"/>
      <c r="C907" s="36"/>
      <c r="D907" s="36"/>
      <c r="E907" s="36"/>
      <c r="F907" s="56"/>
    </row>
    <row r="908">
      <c r="A908" s="55"/>
      <c r="B908" s="36"/>
      <c r="C908" s="36"/>
      <c r="D908" s="36"/>
      <c r="E908" s="36"/>
      <c r="F908" s="56"/>
    </row>
    <row r="909">
      <c r="A909" s="55"/>
      <c r="B909" s="36"/>
      <c r="C909" s="36"/>
      <c r="D909" s="36"/>
      <c r="E909" s="36"/>
      <c r="F909" s="56"/>
    </row>
    <row r="910">
      <c r="A910" s="55"/>
      <c r="B910" s="36"/>
      <c r="C910" s="36"/>
      <c r="D910" s="36"/>
      <c r="E910" s="36"/>
      <c r="F910" s="56"/>
    </row>
    <row r="911">
      <c r="A911" s="55"/>
      <c r="B911" s="36"/>
      <c r="C911" s="36"/>
      <c r="D911" s="36"/>
      <c r="E911" s="36"/>
      <c r="F911" s="56"/>
    </row>
    <row r="912">
      <c r="A912" s="55"/>
      <c r="B912" s="36"/>
      <c r="C912" s="36"/>
      <c r="D912" s="36"/>
      <c r="E912" s="36"/>
      <c r="F912" s="56"/>
    </row>
    <row r="913">
      <c r="A913" s="55"/>
      <c r="B913" s="36"/>
      <c r="C913" s="36"/>
      <c r="D913" s="36"/>
      <c r="E913" s="36"/>
      <c r="F913" s="56"/>
    </row>
    <row r="914">
      <c r="A914" s="55"/>
      <c r="B914" s="36"/>
      <c r="C914" s="36"/>
      <c r="D914" s="36"/>
      <c r="E914" s="36"/>
      <c r="F914" s="56"/>
    </row>
    <row r="915">
      <c r="A915" s="55"/>
      <c r="B915" s="36"/>
      <c r="C915" s="36"/>
      <c r="D915" s="36"/>
      <c r="E915" s="36"/>
      <c r="F915" s="56"/>
    </row>
    <row r="916">
      <c r="A916" s="55"/>
      <c r="B916" s="36"/>
      <c r="C916" s="36"/>
      <c r="D916" s="36"/>
      <c r="E916" s="36"/>
      <c r="F916" s="56"/>
    </row>
    <row r="917">
      <c r="A917" s="55"/>
      <c r="B917" s="36"/>
      <c r="C917" s="36"/>
      <c r="D917" s="36"/>
      <c r="E917" s="36"/>
      <c r="F917" s="56"/>
    </row>
    <row r="918">
      <c r="A918" s="55"/>
      <c r="B918" s="36"/>
      <c r="C918" s="36"/>
      <c r="D918" s="36"/>
      <c r="E918" s="36"/>
      <c r="F918" s="56"/>
    </row>
    <row r="919">
      <c r="A919" s="55"/>
      <c r="B919" s="36"/>
      <c r="C919" s="36"/>
      <c r="D919" s="36"/>
      <c r="E919" s="36"/>
      <c r="F919" s="56"/>
    </row>
    <row r="920">
      <c r="A920" s="55"/>
      <c r="B920" s="36"/>
      <c r="C920" s="36"/>
      <c r="D920" s="36"/>
      <c r="E920" s="36"/>
      <c r="F920" s="56"/>
    </row>
    <row r="921">
      <c r="A921" s="55"/>
      <c r="B921" s="36"/>
      <c r="C921" s="36"/>
      <c r="D921" s="36"/>
      <c r="E921" s="36"/>
      <c r="F921" s="56"/>
    </row>
    <row r="922">
      <c r="A922" s="55"/>
      <c r="B922" s="36"/>
      <c r="C922" s="36"/>
      <c r="D922" s="36"/>
      <c r="E922" s="36"/>
      <c r="F922" s="56"/>
    </row>
    <row r="923">
      <c r="A923" s="55"/>
      <c r="B923" s="36"/>
      <c r="C923" s="36"/>
      <c r="D923" s="36"/>
      <c r="E923" s="36"/>
      <c r="F923" s="56"/>
    </row>
    <row r="924">
      <c r="A924" s="55"/>
      <c r="B924" s="36"/>
      <c r="C924" s="36"/>
      <c r="D924" s="36"/>
      <c r="E924" s="36"/>
      <c r="F924" s="56"/>
    </row>
    <row r="925">
      <c r="A925" s="55"/>
      <c r="B925" s="36"/>
      <c r="C925" s="36"/>
      <c r="D925" s="36"/>
      <c r="E925" s="36"/>
      <c r="F925" s="56"/>
    </row>
    <row r="926">
      <c r="A926" s="55"/>
      <c r="B926" s="36"/>
      <c r="C926" s="36"/>
      <c r="D926" s="36"/>
      <c r="E926" s="36"/>
      <c r="F926" s="56"/>
    </row>
    <row r="927">
      <c r="A927" s="55"/>
      <c r="B927" s="36"/>
      <c r="C927" s="36"/>
      <c r="D927" s="36"/>
      <c r="E927" s="36"/>
      <c r="F927" s="56"/>
    </row>
    <row r="928">
      <c r="A928" s="55"/>
      <c r="B928" s="36"/>
      <c r="C928" s="36"/>
      <c r="D928" s="36"/>
      <c r="E928" s="36"/>
      <c r="F928" s="56"/>
    </row>
    <row r="929">
      <c r="A929" s="55"/>
      <c r="B929" s="36"/>
      <c r="C929" s="36"/>
      <c r="D929" s="36"/>
      <c r="E929" s="36"/>
      <c r="F929" s="56"/>
    </row>
    <row r="930">
      <c r="A930" s="55"/>
      <c r="B930" s="36"/>
      <c r="C930" s="36"/>
      <c r="D930" s="36"/>
      <c r="E930" s="36"/>
      <c r="F930" s="56"/>
    </row>
    <row r="931">
      <c r="A931" s="55"/>
      <c r="B931" s="36"/>
      <c r="C931" s="36"/>
      <c r="D931" s="36"/>
      <c r="E931" s="36"/>
      <c r="F931" s="56"/>
    </row>
    <row r="932">
      <c r="A932" s="55"/>
      <c r="B932" s="36"/>
      <c r="C932" s="36"/>
      <c r="D932" s="36"/>
      <c r="E932" s="36"/>
      <c r="F932" s="56"/>
    </row>
    <row r="933">
      <c r="A933" s="55"/>
      <c r="B933" s="36"/>
      <c r="C933" s="36"/>
      <c r="D933" s="36"/>
      <c r="E933" s="36"/>
      <c r="F933" s="56"/>
    </row>
    <row r="934">
      <c r="A934" s="55"/>
      <c r="B934" s="36"/>
      <c r="C934" s="36"/>
      <c r="D934" s="36"/>
      <c r="E934" s="36"/>
      <c r="F934" s="56"/>
    </row>
    <row r="935">
      <c r="A935" s="55"/>
      <c r="B935" s="36"/>
      <c r="C935" s="36"/>
      <c r="D935" s="36"/>
      <c r="E935" s="36"/>
      <c r="F935" s="56"/>
    </row>
    <row r="936">
      <c r="A936" s="55"/>
      <c r="B936" s="36"/>
      <c r="C936" s="36"/>
      <c r="D936" s="36"/>
      <c r="E936" s="36"/>
      <c r="F936" s="56"/>
    </row>
    <row r="937">
      <c r="A937" s="55"/>
      <c r="B937" s="36"/>
      <c r="C937" s="36"/>
      <c r="D937" s="36"/>
      <c r="E937" s="36"/>
      <c r="F937" s="56"/>
    </row>
    <row r="938">
      <c r="A938" s="55"/>
      <c r="B938" s="36"/>
      <c r="C938" s="36"/>
      <c r="D938" s="36"/>
      <c r="E938" s="36"/>
      <c r="F938" s="56"/>
    </row>
    <row r="939">
      <c r="A939" s="55"/>
      <c r="B939" s="36"/>
      <c r="C939" s="36"/>
      <c r="D939" s="36"/>
      <c r="E939" s="36"/>
      <c r="F939" s="56"/>
    </row>
    <row r="940">
      <c r="A940" s="55"/>
      <c r="B940" s="36"/>
      <c r="C940" s="36"/>
      <c r="D940" s="36"/>
      <c r="E940" s="36"/>
      <c r="F940" s="56"/>
    </row>
    <row r="941">
      <c r="A941" s="55"/>
      <c r="B941" s="36"/>
      <c r="C941" s="36"/>
      <c r="D941" s="36"/>
      <c r="E941" s="36"/>
      <c r="F941" s="56"/>
    </row>
    <row r="942">
      <c r="A942" s="55"/>
      <c r="B942" s="36"/>
      <c r="C942" s="36"/>
      <c r="D942" s="36"/>
      <c r="E942" s="36"/>
      <c r="F942" s="56"/>
    </row>
    <row r="943">
      <c r="A943" s="55"/>
      <c r="B943" s="36"/>
      <c r="C943" s="36"/>
      <c r="D943" s="36"/>
      <c r="E943" s="36"/>
      <c r="F943" s="56"/>
    </row>
    <row r="944">
      <c r="A944" s="55"/>
      <c r="B944" s="36"/>
      <c r="C944" s="36"/>
      <c r="D944" s="36"/>
      <c r="E944" s="36"/>
      <c r="F944" s="56"/>
    </row>
    <row r="945">
      <c r="A945" s="55"/>
      <c r="B945" s="36"/>
      <c r="C945" s="36"/>
      <c r="D945" s="36"/>
      <c r="E945" s="36"/>
      <c r="F945" s="56"/>
    </row>
    <row r="946">
      <c r="A946" s="55"/>
      <c r="B946" s="36"/>
      <c r="C946" s="36"/>
      <c r="D946" s="36"/>
      <c r="E946" s="36"/>
      <c r="F946" s="56"/>
    </row>
    <row r="947">
      <c r="A947" s="55"/>
      <c r="B947" s="36"/>
      <c r="C947" s="36"/>
      <c r="D947" s="36"/>
      <c r="E947" s="36"/>
      <c r="F947" s="56"/>
    </row>
    <row r="948">
      <c r="A948" s="55"/>
      <c r="B948" s="36"/>
      <c r="C948" s="36"/>
      <c r="D948" s="36"/>
      <c r="E948" s="36"/>
      <c r="F948" s="56"/>
    </row>
    <row r="949">
      <c r="A949" s="55"/>
      <c r="B949" s="36"/>
      <c r="C949" s="36"/>
      <c r="D949" s="36"/>
      <c r="E949" s="36"/>
      <c r="F949" s="56"/>
    </row>
    <row r="950">
      <c r="A950" s="55"/>
      <c r="B950" s="36"/>
      <c r="C950" s="36"/>
      <c r="D950" s="36"/>
      <c r="E950" s="36"/>
      <c r="F950" s="56"/>
    </row>
    <row r="951">
      <c r="A951" s="55"/>
      <c r="B951" s="36"/>
      <c r="C951" s="36"/>
      <c r="D951" s="36"/>
      <c r="E951" s="36"/>
      <c r="F951" s="56"/>
    </row>
    <row r="952">
      <c r="A952" s="55"/>
      <c r="B952" s="36"/>
      <c r="C952" s="36"/>
      <c r="D952" s="36"/>
      <c r="E952" s="36"/>
      <c r="F952" s="56"/>
    </row>
    <row r="953">
      <c r="A953" s="55"/>
      <c r="B953" s="36"/>
      <c r="C953" s="36"/>
      <c r="D953" s="36"/>
      <c r="E953" s="36"/>
      <c r="F953" s="56"/>
    </row>
    <row r="954">
      <c r="A954" s="55"/>
      <c r="B954" s="36"/>
      <c r="C954" s="36"/>
      <c r="D954" s="36"/>
      <c r="E954" s="36"/>
      <c r="F954" s="56"/>
    </row>
    <row r="955">
      <c r="A955" s="55"/>
      <c r="B955" s="36"/>
      <c r="C955" s="36"/>
      <c r="D955" s="36"/>
      <c r="E955" s="36"/>
      <c r="F955" s="56"/>
    </row>
    <row r="956">
      <c r="A956" s="55"/>
      <c r="B956" s="36"/>
      <c r="C956" s="36"/>
      <c r="D956" s="36"/>
      <c r="E956" s="36"/>
      <c r="F956" s="56"/>
    </row>
    <row r="957">
      <c r="A957" s="55"/>
      <c r="B957" s="36"/>
      <c r="C957" s="36"/>
      <c r="D957" s="36"/>
      <c r="E957" s="36"/>
      <c r="F957" s="56"/>
    </row>
    <row r="958">
      <c r="A958" s="55"/>
      <c r="B958" s="36"/>
      <c r="C958" s="36"/>
      <c r="D958" s="36"/>
      <c r="E958" s="36"/>
      <c r="F958" s="56"/>
    </row>
    <row r="959">
      <c r="A959" s="55"/>
      <c r="B959" s="36"/>
      <c r="C959" s="36"/>
      <c r="D959" s="36"/>
      <c r="E959" s="36"/>
      <c r="F959" s="56"/>
    </row>
    <row r="960">
      <c r="A960" s="55"/>
      <c r="B960" s="36"/>
      <c r="C960" s="36"/>
      <c r="D960" s="36"/>
      <c r="E960" s="36"/>
      <c r="F960" s="56"/>
    </row>
    <row r="961">
      <c r="A961" s="55"/>
      <c r="B961" s="36"/>
      <c r="C961" s="36"/>
      <c r="D961" s="36"/>
      <c r="E961" s="36"/>
      <c r="F961" s="56"/>
    </row>
    <row r="962">
      <c r="A962" s="55"/>
      <c r="B962" s="36"/>
      <c r="C962" s="36"/>
      <c r="D962" s="36"/>
      <c r="E962" s="36"/>
      <c r="F962" s="56"/>
    </row>
    <row r="963">
      <c r="A963" s="55"/>
      <c r="B963" s="36"/>
      <c r="C963" s="36"/>
      <c r="D963" s="36"/>
      <c r="E963" s="36"/>
      <c r="F963" s="56"/>
    </row>
    <row r="964">
      <c r="A964" s="55"/>
      <c r="B964" s="36"/>
      <c r="C964" s="36"/>
      <c r="D964" s="36"/>
      <c r="E964" s="36"/>
      <c r="F964" s="56"/>
    </row>
    <row r="965">
      <c r="A965" s="55"/>
      <c r="B965" s="36"/>
      <c r="C965" s="36"/>
      <c r="D965" s="36"/>
      <c r="E965" s="36"/>
      <c r="F965" s="56"/>
    </row>
    <row r="966">
      <c r="A966" s="55"/>
      <c r="B966" s="36"/>
      <c r="C966" s="36"/>
      <c r="D966" s="36"/>
      <c r="E966" s="36"/>
      <c r="F966" s="56"/>
    </row>
    <row r="967">
      <c r="A967" s="55"/>
      <c r="B967" s="36"/>
      <c r="C967" s="36"/>
      <c r="D967" s="36"/>
      <c r="E967" s="36"/>
      <c r="F967" s="56"/>
    </row>
    <row r="968">
      <c r="A968" s="55"/>
      <c r="B968" s="36"/>
      <c r="C968" s="36"/>
      <c r="D968" s="36"/>
      <c r="E968" s="36"/>
      <c r="F968" s="56"/>
    </row>
    <row r="969">
      <c r="A969" s="55"/>
      <c r="B969" s="36"/>
      <c r="C969" s="36"/>
      <c r="D969" s="36"/>
      <c r="E969" s="36"/>
      <c r="F969" s="56"/>
    </row>
    <row r="970">
      <c r="A970" s="55"/>
      <c r="B970" s="36"/>
      <c r="C970" s="36"/>
      <c r="D970" s="36"/>
      <c r="E970" s="36"/>
      <c r="F970" s="56"/>
    </row>
    <row r="971">
      <c r="A971" s="55"/>
      <c r="B971" s="36"/>
      <c r="C971" s="36"/>
      <c r="D971" s="36"/>
      <c r="E971" s="36"/>
      <c r="F971" s="56"/>
    </row>
    <row r="972">
      <c r="A972" s="55"/>
      <c r="B972" s="36"/>
      <c r="C972" s="36"/>
      <c r="D972" s="36"/>
      <c r="E972" s="36"/>
      <c r="F972" s="56"/>
    </row>
    <row r="973">
      <c r="A973" s="55"/>
      <c r="B973" s="36"/>
      <c r="C973" s="36"/>
      <c r="D973" s="36"/>
      <c r="E973" s="36"/>
      <c r="F973" s="56"/>
    </row>
    <row r="974">
      <c r="A974" s="55"/>
      <c r="B974" s="36"/>
      <c r="C974" s="36"/>
      <c r="D974" s="36"/>
      <c r="E974" s="36"/>
      <c r="F974" s="56"/>
    </row>
    <row r="975">
      <c r="A975" s="55"/>
      <c r="B975" s="36"/>
      <c r="C975" s="36"/>
      <c r="D975" s="36"/>
      <c r="E975" s="36"/>
      <c r="F975" s="56"/>
    </row>
    <row r="976">
      <c r="A976" s="55"/>
      <c r="B976" s="36"/>
      <c r="C976" s="36"/>
      <c r="D976" s="36"/>
      <c r="E976" s="36"/>
      <c r="F976" s="56"/>
    </row>
    <row r="977">
      <c r="A977" s="55"/>
      <c r="B977" s="36"/>
      <c r="C977" s="36"/>
      <c r="D977" s="36"/>
      <c r="E977" s="36"/>
      <c r="F977" s="56"/>
    </row>
    <row r="978">
      <c r="A978" s="55"/>
      <c r="B978" s="36"/>
      <c r="C978" s="36"/>
      <c r="D978" s="36"/>
      <c r="E978" s="36"/>
      <c r="F978" s="56"/>
    </row>
    <row r="979">
      <c r="A979" s="55"/>
      <c r="B979" s="36"/>
      <c r="C979" s="36"/>
      <c r="D979" s="36"/>
      <c r="E979" s="36"/>
      <c r="F979" s="56"/>
    </row>
    <row r="980">
      <c r="A980" s="55"/>
      <c r="B980" s="36"/>
      <c r="C980" s="36"/>
      <c r="D980" s="36"/>
      <c r="E980" s="36"/>
      <c r="F980" s="56"/>
    </row>
    <row r="981">
      <c r="A981" s="55"/>
      <c r="B981" s="36"/>
      <c r="C981" s="36"/>
      <c r="D981" s="36"/>
      <c r="E981" s="36"/>
      <c r="F981" s="56"/>
    </row>
    <row r="982">
      <c r="A982" s="55"/>
      <c r="B982" s="36"/>
      <c r="C982" s="36"/>
      <c r="D982" s="36"/>
      <c r="E982" s="36"/>
      <c r="F982" s="56"/>
    </row>
    <row r="983">
      <c r="A983" s="55"/>
      <c r="B983" s="36"/>
      <c r="C983" s="36"/>
      <c r="D983" s="36"/>
      <c r="E983" s="36"/>
      <c r="F983" s="56"/>
    </row>
    <row r="984">
      <c r="A984" s="55"/>
      <c r="B984" s="36"/>
      <c r="C984" s="36"/>
      <c r="D984" s="36"/>
      <c r="E984" s="36"/>
      <c r="F984" s="56"/>
    </row>
    <row r="985">
      <c r="A985" s="55"/>
      <c r="B985" s="36"/>
      <c r="C985" s="36"/>
      <c r="D985" s="36"/>
      <c r="E985" s="36"/>
      <c r="F985" s="56"/>
    </row>
    <row r="986">
      <c r="A986" s="55"/>
      <c r="B986" s="36"/>
      <c r="C986" s="36"/>
      <c r="D986" s="36"/>
      <c r="E986" s="36"/>
      <c r="F986" s="56"/>
    </row>
    <row r="987">
      <c r="A987" s="55"/>
      <c r="B987" s="36"/>
      <c r="C987" s="36"/>
      <c r="D987" s="36"/>
      <c r="E987" s="36"/>
      <c r="F987" s="56"/>
    </row>
    <row r="988">
      <c r="A988" s="55"/>
      <c r="B988" s="36"/>
      <c r="C988" s="36"/>
      <c r="D988" s="36"/>
      <c r="E988" s="36"/>
      <c r="F988" s="56"/>
    </row>
    <row r="989">
      <c r="A989" s="55"/>
      <c r="B989" s="36"/>
      <c r="C989" s="36"/>
      <c r="D989" s="36"/>
      <c r="E989" s="36"/>
      <c r="F989" s="56"/>
    </row>
    <row r="990">
      <c r="A990" s="55"/>
      <c r="B990" s="36"/>
      <c r="C990" s="36"/>
      <c r="D990" s="36"/>
      <c r="E990" s="36"/>
      <c r="F990" s="56"/>
    </row>
    <row r="991">
      <c r="A991" s="55"/>
      <c r="B991" s="36"/>
      <c r="C991" s="36"/>
      <c r="D991" s="36"/>
      <c r="E991" s="36"/>
      <c r="F991" s="56"/>
    </row>
    <row r="992">
      <c r="A992" s="55"/>
      <c r="B992" s="36"/>
      <c r="C992" s="36"/>
      <c r="D992" s="36"/>
      <c r="E992" s="36"/>
      <c r="F992" s="56"/>
    </row>
    <row r="993">
      <c r="A993" s="55"/>
      <c r="B993" s="36"/>
      <c r="C993" s="36"/>
      <c r="D993" s="36"/>
      <c r="E993" s="36"/>
      <c r="F993" s="56"/>
    </row>
    <row r="994">
      <c r="A994" s="55"/>
      <c r="B994" s="36"/>
      <c r="C994" s="36"/>
      <c r="D994" s="36"/>
      <c r="E994" s="36"/>
      <c r="F994" s="56"/>
    </row>
    <row r="995">
      <c r="A995" s="55"/>
      <c r="B995" s="36"/>
      <c r="C995" s="36"/>
      <c r="D995" s="36"/>
      <c r="E995" s="36"/>
      <c r="F995" s="56"/>
    </row>
    <row r="996">
      <c r="A996" s="55"/>
      <c r="B996" s="36"/>
      <c r="C996" s="36"/>
      <c r="D996" s="36"/>
      <c r="E996" s="36"/>
      <c r="F996" s="56"/>
    </row>
    <row r="997">
      <c r="A997" s="55"/>
      <c r="B997" s="36"/>
      <c r="C997" s="36"/>
      <c r="D997" s="36"/>
      <c r="E997" s="36"/>
      <c r="F997" s="56"/>
    </row>
    <row r="998">
      <c r="A998" s="55"/>
      <c r="B998" s="36"/>
      <c r="C998" s="36"/>
      <c r="D998" s="36"/>
      <c r="E998" s="36"/>
      <c r="F998" s="56"/>
    </row>
    <row r="999">
      <c r="A999" s="55"/>
      <c r="B999" s="36"/>
      <c r="C999" s="36"/>
      <c r="D999" s="36"/>
      <c r="E999" s="36"/>
      <c r="F999" s="56"/>
    </row>
    <row r="1000">
      <c r="A1000" s="55"/>
      <c r="B1000" s="36"/>
      <c r="C1000" s="36"/>
      <c r="D1000" s="36"/>
      <c r="E1000" s="36"/>
      <c r="F1000" s="56"/>
    </row>
  </sheetData>
  <dataValidations>
    <dataValidation type="list" allowBlank="1" showErrorMessage="1" sqref="D2:D1000">
      <formula1>"Shareholder - Jagadeesan,Shareholder - Jagadeshwaran,Shareholder - Vellingiri,Vikas,Payable to Alam,Union Bank - CC,Union Bank - Current,Union Bank - Term Loan"</formula1>
    </dataValidation>
    <dataValidation type="list" allowBlank="1" showErrorMessage="1" sqref="C2:C1000">
      <formula1>"Sales,Transfer Fund,Expense Refund,Vendor Payment Refund"</formula1>
    </dataValidation>
    <dataValidation type="list" allowBlank="1" showErrorMessage="1" sqref="B2:B1000">
      <formula1>"Washing Unit,Fibre Unit,Chips Unit"</formula1>
    </dataValidation>
    <dataValidation type="date" operator="lessThanOrEqual" allowBlank="1" showErrorMessage="1" sqref="A2:A6 A9:A11 A14:A1000">
      <formula1>TODAY()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14"/>
    <col customWidth="1" min="4" max="4" width="24.71"/>
    <col customWidth="1" min="5" max="5" width="43.0"/>
    <col customWidth="1" min="6" max="6" width="22.0"/>
  </cols>
  <sheetData>
    <row r="1" ht="17.25" customHeight="1">
      <c r="A1" s="25" t="s">
        <v>37</v>
      </c>
      <c r="B1" s="25" t="s">
        <v>39</v>
      </c>
      <c r="C1" s="27" t="s">
        <v>40</v>
      </c>
      <c r="D1" s="25" t="s">
        <v>44</v>
      </c>
      <c r="E1" s="25" t="s">
        <v>47</v>
      </c>
      <c r="F1" s="25" t="s">
        <v>48</v>
      </c>
    </row>
    <row r="2">
      <c r="A2" s="32">
        <v>46116.0</v>
      </c>
      <c r="B2" s="41" t="s">
        <v>24</v>
      </c>
      <c r="C2" s="41" t="s">
        <v>27</v>
      </c>
      <c r="D2" s="41" t="s">
        <v>79</v>
      </c>
      <c r="E2" s="41" t="s">
        <v>80</v>
      </c>
      <c r="F2" s="46">
        <v>7359.0</v>
      </c>
    </row>
    <row r="3">
      <c r="A3" s="32">
        <v>46125.0</v>
      </c>
      <c r="B3" s="41" t="s">
        <v>24</v>
      </c>
      <c r="C3" s="41" t="s">
        <v>27</v>
      </c>
      <c r="D3" s="41" t="s">
        <v>78</v>
      </c>
      <c r="E3" s="41" t="s">
        <v>85</v>
      </c>
      <c r="F3" s="46">
        <v>8400.0</v>
      </c>
    </row>
    <row r="4">
      <c r="A4" s="32">
        <v>46126.0</v>
      </c>
      <c r="B4" s="41" t="s">
        <v>24</v>
      </c>
      <c r="C4" s="41" t="s">
        <v>27</v>
      </c>
      <c r="D4" s="41" t="s">
        <v>86</v>
      </c>
      <c r="E4" s="41" t="s">
        <v>87</v>
      </c>
      <c r="F4" s="46">
        <v>3700.0</v>
      </c>
    </row>
    <row r="5">
      <c r="A5" s="32">
        <v>46126.0</v>
      </c>
      <c r="B5" s="41" t="s">
        <v>24</v>
      </c>
      <c r="C5" s="41" t="s">
        <v>27</v>
      </c>
      <c r="D5" s="41" t="s">
        <v>86</v>
      </c>
      <c r="E5" s="41" t="s">
        <v>89</v>
      </c>
      <c r="F5" s="46">
        <v>450.0</v>
      </c>
    </row>
    <row r="6">
      <c r="A6" s="32">
        <v>46130.0</v>
      </c>
      <c r="B6" s="41" t="s">
        <v>24</v>
      </c>
      <c r="C6" s="41" t="s">
        <v>27</v>
      </c>
      <c r="D6" s="41" t="s">
        <v>79</v>
      </c>
      <c r="E6" s="41" t="s">
        <v>80</v>
      </c>
      <c r="F6" s="46">
        <v>14604.0</v>
      </c>
    </row>
    <row r="7">
      <c r="A7" s="32">
        <v>46133.0</v>
      </c>
      <c r="B7" s="41" t="s">
        <v>24</v>
      </c>
      <c r="C7" s="41" t="s">
        <v>27</v>
      </c>
      <c r="D7" s="41" t="s">
        <v>81</v>
      </c>
      <c r="E7" s="41" t="s">
        <v>91</v>
      </c>
      <c r="F7" s="46">
        <v>935.0</v>
      </c>
    </row>
    <row r="8">
      <c r="A8" s="32">
        <v>46134.0</v>
      </c>
      <c r="B8" s="41" t="s">
        <v>24</v>
      </c>
      <c r="C8" s="41" t="s">
        <v>27</v>
      </c>
      <c r="D8" s="41" t="s">
        <v>94</v>
      </c>
      <c r="E8" s="41" t="s">
        <v>95</v>
      </c>
      <c r="F8" s="46">
        <v>3500.0</v>
      </c>
    </row>
    <row r="9">
      <c r="A9" s="32">
        <v>46136.0</v>
      </c>
      <c r="B9" s="41" t="s">
        <v>24</v>
      </c>
      <c r="C9" s="41" t="s">
        <v>27</v>
      </c>
      <c r="D9" s="41" t="s">
        <v>94</v>
      </c>
      <c r="E9" s="41" t="s">
        <v>97</v>
      </c>
      <c r="F9" s="46">
        <v>11500.0</v>
      </c>
    </row>
    <row r="10">
      <c r="A10" s="32">
        <v>46136.0</v>
      </c>
      <c r="B10" s="41" t="s">
        <v>24</v>
      </c>
      <c r="C10" s="41" t="s">
        <v>27</v>
      </c>
      <c r="D10" s="41" t="s">
        <v>94</v>
      </c>
      <c r="E10" s="41" t="s">
        <v>100</v>
      </c>
      <c r="F10" s="46">
        <v>6350.0</v>
      </c>
    </row>
    <row r="11">
      <c r="A11" s="32">
        <v>46137.0</v>
      </c>
      <c r="B11" s="41" t="s">
        <v>24</v>
      </c>
      <c r="C11" s="41" t="s">
        <v>27</v>
      </c>
      <c r="D11" s="41" t="s">
        <v>92</v>
      </c>
      <c r="E11" s="41" t="s">
        <v>105</v>
      </c>
      <c r="F11" s="46">
        <v>15308.0</v>
      </c>
    </row>
    <row r="12">
      <c r="A12" s="32">
        <v>46143.0</v>
      </c>
      <c r="B12" s="41" t="s">
        <v>24</v>
      </c>
      <c r="C12" s="41" t="s">
        <v>27</v>
      </c>
      <c r="D12" s="41" t="s">
        <v>66</v>
      </c>
      <c r="E12" s="41" t="s">
        <v>107</v>
      </c>
      <c r="F12" s="46">
        <v>100.0</v>
      </c>
    </row>
    <row r="13">
      <c r="A13" s="32">
        <v>46144.0</v>
      </c>
      <c r="B13" s="41" t="s">
        <v>24</v>
      </c>
      <c r="C13" s="41" t="s">
        <v>27</v>
      </c>
      <c r="D13" s="41" t="s">
        <v>79</v>
      </c>
      <c r="E13" s="41" t="s">
        <v>80</v>
      </c>
      <c r="F13" s="46">
        <v>1666.0</v>
      </c>
    </row>
    <row r="14">
      <c r="A14" s="32">
        <v>46151.0</v>
      </c>
      <c r="B14" s="41" t="s">
        <v>24</v>
      </c>
      <c r="C14" s="41" t="s">
        <v>27</v>
      </c>
      <c r="D14" s="41" t="s">
        <v>79</v>
      </c>
      <c r="E14" s="41" t="s">
        <v>80</v>
      </c>
      <c r="F14" s="46">
        <v>16765.0</v>
      </c>
    </row>
    <row r="15">
      <c r="A15" s="32">
        <v>46154.0</v>
      </c>
      <c r="B15" s="41" t="s">
        <v>24</v>
      </c>
      <c r="C15" s="41" t="s">
        <v>27</v>
      </c>
      <c r="D15" s="41" t="s">
        <v>83</v>
      </c>
      <c r="E15" s="41" t="s">
        <v>113</v>
      </c>
      <c r="F15" s="46">
        <v>25462.0</v>
      </c>
    </row>
    <row r="16">
      <c r="A16" s="32">
        <v>46157.0</v>
      </c>
      <c r="B16" s="41" t="s">
        <v>24</v>
      </c>
      <c r="C16" s="41" t="s">
        <v>27</v>
      </c>
      <c r="D16" s="41" t="s">
        <v>79</v>
      </c>
      <c r="E16" s="41" t="s">
        <v>80</v>
      </c>
      <c r="F16" s="46">
        <v>18279.0</v>
      </c>
    </row>
    <row r="17">
      <c r="A17" s="32">
        <v>46164.0</v>
      </c>
      <c r="B17" s="41" t="s">
        <v>24</v>
      </c>
      <c r="C17" s="41" t="s">
        <v>33</v>
      </c>
      <c r="D17" s="41" t="s">
        <v>33</v>
      </c>
      <c r="E17" s="41" t="s">
        <v>116</v>
      </c>
      <c r="F17" s="46">
        <v>62540.0</v>
      </c>
    </row>
    <row r="18">
      <c r="A18" s="32">
        <v>46164.0</v>
      </c>
      <c r="B18" s="41" t="s">
        <v>24</v>
      </c>
      <c r="C18" s="41" t="s">
        <v>27</v>
      </c>
      <c r="D18" s="41" t="s">
        <v>120</v>
      </c>
      <c r="E18" s="41" t="s">
        <v>121</v>
      </c>
      <c r="F18" s="46">
        <v>500.0</v>
      </c>
    </row>
    <row r="19">
      <c r="A19" s="32">
        <v>46165.0</v>
      </c>
      <c r="B19" s="41" t="s">
        <v>24</v>
      </c>
      <c r="C19" s="41" t="s">
        <v>27</v>
      </c>
      <c r="D19" s="41" t="s">
        <v>79</v>
      </c>
      <c r="E19" s="41" t="s">
        <v>80</v>
      </c>
      <c r="F19" s="46">
        <v>17680.0</v>
      </c>
    </row>
    <row r="20">
      <c r="A20" s="32">
        <v>46172.0</v>
      </c>
      <c r="B20" s="41" t="s">
        <v>24</v>
      </c>
      <c r="C20" s="41" t="s">
        <v>27</v>
      </c>
      <c r="D20" s="41" t="s">
        <v>79</v>
      </c>
      <c r="E20" s="41" t="s">
        <v>80</v>
      </c>
      <c r="F20" s="46">
        <v>23387.0</v>
      </c>
    </row>
    <row r="21">
      <c r="A21" s="32">
        <v>46173.0</v>
      </c>
      <c r="B21" s="41" t="s">
        <v>24</v>
      </c>
      <c r="C21" s="41" t="s">
        <v>27</v>
      </c>
      <c r="D21" s="41" t="s">
        <v>98</v>
      </c>
      <c r="E21" s="41" t="s">
        <v>107</v>
      </c>
      <c r="F21" s="46">
        <v>666.0</v>
      </c>
    </row>
    <row r="22">
      <c r="A22" s="32">
        <v>46176.0</v>
      </c>
      <c r="B22" s="41" t="s">
        <v>24</v>
      </c>
      <c r="C22" s="41" t="s">
        <v>27</v>
      </c>
      <c r="D22" s="41" t="s">
        <v>94</v>
      </c>
      <c r="E22" s="41" t="s">
        <v>127</v>
      </c>
      <c r="F22" s="46">
        <v>2200.0</v>
      </c>
    </row>
    <row r="23">
      <c r="A23" s="32">
        <v>46179.0</v>
      </c>
      <c r="B23" s="41" t="s">
        <v>24</v>
      </c>
      <c r="C23" s="41" t="s">
        <v>27</v>
      </c>
      <c r="D23" s="41" t="s">
        <v>79</v>
      </c>
      <c r="E23" s="41" t="s">
        <v>80</v>
      </c>
      <c r="F23" s="46">
        <v>24928.0</v>
      </c>
    </row>
    <row r="24">
      <c r="A24" s="32">
        <v>46182.0</v>
      </c>
      <c r="B24" s="41" t="s">
        <v>24</v>
      </c>
      <c r="C24" s="41" t="s">
        <v>27</v>
      </c>
      <c r="D24" s="41" t="s">
        <v>94</v>
      </c>
      <c r="E24" s="41" t="s">
        <v>130</v>
      </c>
      <c r="F24" s="46">
        <v>36750.0</v>
      </c>
    </row>
    <row r="25">
      <c r="A25" s="32">
        <v>46186.0</v>
      </c>
      <c r="B25" s="41" t="s">
        <v>24</v>
      </c>
      <c r="C25" s="41" t="s">
        <v>27</v>
      </c>
      <c r="D25" s="41" t="s">
        <v>79</v>
      </c>
      <c r="E25" s="41" t="s">
        <v>80</v>
      </c>
      <c r="F25" s="46">
        <v>21754.0</v>
      </c>
    </row>
    <row r="26">
      <c r="A26" s="32">
        <v>46186.0</v>
      </c>
      <c r="B26" s="41" t="s">
        <v>24</v>
      </c>
      <c r="C26" s="41" t="s">
        <v>27</v>
      </c>
      <c r="D26" s="41" t="s">
        <v>88</v>
      </c>
      <c r="E26" s="41" t="s">
        <v>135</v>
      </c>
      <c r="F26" s="46">
        <v>4117.0</v>
      </c>
    </row>
    <row r="27">
      <c r="A27" s="32">
        <v>46193.0</v>
      </c>
      <c r="B27" s="41" t="s">
        <v>24</v>
      </c>
      <c r="C27" s="41" t="s">
        <v>27</v>
      </c>
      <c r="D27" s="41" t="s">
        <v>79</v>
      </c>
      <c r="E27" s="58" t="s">
        <v>138</v>
      </c>
      <c r="F27" s="46">
        <v>14465.0</v>
      </c>
    </row>
    <row r="28">
      <c r="A28" s="32">
        <v>46193.0</v>
      </c>
      <c r="B28" s="41" t="s">
        <v>24</v>
      </c>
      <c r="C28" s="41" t="s">
        <v>27</v>
      </c>
      <c r="D28" s="41" t="s">
        <v>109</v>
      </c>
      <c r="E28" s="41" t="s">
        <v>142</v>
      </c>
      <c r="F28" s="46">
        <v>7200.0</v>
      </c>
    </row>
    <row r="29">
      <c r="A29" s="32">
        <v>46194.0</v>
      </c>
      <c r="B29" s="41" t="s">
        <v>24</v>
      </c>
      <c r="C29" s="41" t="s">
        <v>27</v>
      </c>
      <c r="D29" s="41" t="s">
        <v>86</v>
      </c>
      <c r="E29" s="41" t="s">
        <v>144</v>
      </c>
      <c r="F29" s="46">
        <v>1500.0</v>
      </c>
    </row>
    <row r="30">
      <c r="A30" s="32">
        <v>46194.0</v>
      </c>
      <c r="B30" s="41" t="s">
        <v>24</v>
      </c>
      <c r="C30" s="41" t="s">
        <v>27</v>
      </c>
      <c r="D30" s="41" t="s">
        <v>94</v>
      </c>
      <c r="E30" s="41" t="s">
        <v>146</v>
      </c>
      <c r="F30" s="46">
        <v>2600.0</v>
      </c>
    </row>
    <row r="31">
      <c r="A31" s="32">
        <v>46194.0</v>
      </c>
      <c r="B31" s="41" t="s">
        <v>24</v>
      </c>
      <c r="C31" s="41" t="s">
        <v>27</v>
      </c>
      <c r="D31" s="41" t="s">
        <v>88</v>
      </c>
      <c r="E31" s="41" t="s">
        <v>148</v>
      </c>
      <c r="F31" s="46">
        <v>2799.0</v>
      </c>
    </row>
    <row r="32" ht="18.75" customHeight="1">
      <c r="A32" s="20"/>
      <c r="B32" s="20"/>
      <c r="C32" s="20"/>
      <c r="D32" s="20"/>
      <c r="E32" s="60" t="s">
        <v>150</v>
      </c>
      <c r="F32" s="62">
        <f>SUM(F2:F31)</f>
        <v>357464</v>
      </c>
    </row>
    <row r="33" ht="18.75" customHeight="1">
      <c r="A33" s="64" t="s">
        <v>158</v>
      </c>
      <c r="E33" s="60" t="s">
        <v>159</v>
      </c>
      <c r="F33" s="62">
        <f>F32*66.667%</f>
        <v>238310.5249</v>
      </c>
    </row>
  </sheetData>
  <mergeCells count="1">
    <mergeCell ref="A33:D33"/>
  </mergeCells>
  <dataValidations>
    <dataValidation type="list" allowBlank="1" sqref="C2:C31">
      <formula1>Lists!$E$2:$E$3</formula1>
    </dataValidation>
    <dataValidation type="list" allowBlank="1" showErrorMessage="1" sqref="B2:B16 B18:B31">
      <formula1>"Washing Unit,Fibre Unit,Chips Unit"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7.29"/>
    <col customWidth="1" min="3" max="3" width="14.0"/>
    <col customWidth="1" min="4" max="4" width="15.0"/>
    <col customWidth="1" min="5" max="5" width="40.0"/>
  </cols>
  <sheetData>
    <row r="1" ht="19.5" customHeight="1">
      <c r="A1" s="66" t="s">
        <v>190</v>
      </c>
      <c r="B1" s="66" t="s">
        <v>39</v>
      </c>
      <c r="C1" s="66" t="s">
        <v>191</v>
      </c>
      <c r="D1" s="66" t="s">
        <v>192</v>
      </c>
      <c r="E1" s="66" t="s">
        <v>193</v>
      </c>
    </row>
    <row r="2">
      <c r="A2" s="67" t="s">
        <v>26</v>
      </c>
      <c r="B2" s="68" t="s">
        <v>29</v>
      </c>
      <c r="C2" s="69">
        <v>294840.0</v>
      </c>
      <c r="D2" s="69">
        <v>100000.0</v>
      </c>
      <c r="E2" s="70" t="s">
        <v>197</v>
      </c>
    </row>
    <row r="3">
      <c r="A3" s="71" t="s">
        <v>42</v>
      </c>
      <c r="B3" s="68" t="s">
        <v>24</v>
      </c>
      <c r="C3" s="69">
        <v>739000.0</v>
      </c>
      <c r="D3" s="69">
        <v>0.0</v>
      </c>
      <c r="E3" s="72" t="s">
        <v>201</v>
      </c>
    </row>
    <row r="4">
      <c r="A4" s="67"/>
      <c r="B4" s="73"/>
      <c r="C4" s="74"/>
      <c r="D4" s="74"/>
      <c r="E4" s="75"/>
    </row>
    <row r="5">
      <c r="A5" s="67"/>
      <c r="B5" s="73"/>
      <c r="C5" s="74"/>
      <c r="D5" s="74"/>
      <c r="E5" s="75"/>
    </row>
    <row r="6">
      <c r="A6" s="67"/>
      <c r="B6" s="73"/>
      <c r="C6" s="74"/>
      <c r="D6" s="74"/>
      <c r="E6" s="75"/>
    </row>
    <row r="7">
      <c r="A7" s="67"/>
      <c r="B7" s="73"/>
      <c r="C7" s="74"/>
      <c r="D7" s="74"/>
      <c r="E7" s="75"/>
    </row>
    <row r="8">
      <c r="A8" s="67"/>
      <c r="B8" s="73"/>
      <c r="C8" s="74"/>
      <c r="D8" s="74"/>
      <c r="E8" s="75"/>
    </row>
    <row r="9">
      <c r="A9" s="67"/>
      <c r="B9" s="73"/>
      <c r="C9" s="74"/>
      <c r="D9" s="74"/>
      <c r="E9" s="75"/>
    </row>
    <row r="10">
      <c r="A10" s="67"/>
      <c r="B10" s="73"/>
      <c r="C10" s="74"/>
      <c r="D10" s="74"/>
      <c r="E10" s="75"/>
    </row>
    <row r="11">
      <c r="A11" s="67"/>
      <c r="B11" s="73"/>
      <c r="C11" s="74"/>
      <c r="D11" s="74"/>
      <c r="E11" s="75"/>
    </row>
    <row r="12">
      <c r="A12" s="67"/>
      <c r="B12" s="73"/>
      <c r="C12" s="74"/>
      <c r="D12" s="74"/>
      <c r="E12" s="75"/>
    </row>
    <row r="13">
      <c r="A13" s="67"/>
      <c r="B13" s="73"/>
      <c r="C13" s="74"/>
      <c r="D13" s="74"/>
      <c r="E13" s="75"/>
    </row>
    <row r="14">
      <c r="A14" s="67"/>
      <c r="B14" s="73"/>
      <c r="C14" s="74"/>
      <c r="D14" s="74"/>
      <c r="E14" s="75"/>
    </row>
    <row r="15">
      <c r="A15" s="67"/>
      <c r="B15" s="73"/>
      <c r="C15" s="74"/>
      <c r="D15" s="74"/>
      <c r="E15" s="75"/>
    </row>
    <row r="16">
      <c r="A16" s="67"/>
      <c r="B16" s="73"/>
      <c r="C16" s="74"/>
      <c r="D16" s="74"/>
      <c r="E16" s="75"/>
    </row>
    <row r="17">
      <c r="A17" s="67"/>
      <c r="B17" s="73"/>
      <c r="C17" s="74"/>
      <c r="D17" s="74"/>
      <c r="E17" s="75"/>
    </row>
    <row r="18">
      <c r="A18" s="67"/>
      <c r="B18" s="73"/>
      <c r="C18" s="74"/>
      <c r="D18" s="74"/>
      <c r="E18" s="75"/>
    </row>
    <row r="19">
      <c r="A19" s="67"/>
      <c r="B19" s="73"/>
      <c r="C19" s="74"/>
      <c r="D19" s="74"/>
      <c r="E19" s="75"/>
    </row>
    <row r="20">
      <c r="A20" s="67"/>
      <c r="B20" s="73"/>
      <c r="C20" s="74"/>
      <c r="D20" s="74"/>
      <c r="E20" s="75"/>
    </row>
    <row r="21" ht="15.75" customHeight="1">
      <c r="A21" s="67"/>
      <c r="B21" s="73"/>
      <c r="C21" s="74"/>
      <c r="D21" s="74"/>
      <c r="E21" s="75"/>
    </row>
    <row r="22" ht="15.75" customHeight="1">
      <c r="A22" s="67"/>
      <c r="B22" s="73"/>
      <c r="C22" s="74"/>
      <c r="D22" s="74"/>
      <c r="E22" s="75"/>
    </row>
    <row r="23" ht="15.75" customHeight="1">
      <c r="A23" s="67"/>
      <c r="B23" s="73"/>
      <c r="C23" s="74"/>
      <c r="D23" s="74"/>
      <c r="E23" s="75"/>
    </row>
    <row r="24" ht="15.75" customHeight="1">
      <c r="A24" s="67"/>
      <c r="B24" s="73"/>
      <c r="C24" s="74"/>
      <c r="D24" s="74"/>
      <c r="E24" s="75"/>
    </row>
    <row r="25" ht="15.75" customHeight="1">
      <c r="A25" s="67"/>
      <c r="B25" s="73"/>
      <c r="C25" s="74"/>
      <c r="D25" s="74"/>
      <c r="E25" s="75"/>
    </row>
    <row r="26" ht="15.75" customHeight="1">
      <c r="A26" s="67"/>
      <c r="B26" s="73"/>
      <c r="C26" s="74"/>
      <c r="D26" s="74"/>
      <c r="E26" s="75"/>
    </row>
    <row r="27" ht="15.75" customHeight="1">
      <c r="A27" s="67"/>
      <c r="B27" s="73"/>
      <c r="C27" s="74"/>
      <c r="D27" s="74"/>
      <c r="E27" s="75"/>
    </row>
    <row r="28" ht="15.75" customHeight="1">
      <c r="A28" s="67"/>
      <c r="B28" s="73"/>
      <c r="C28" s="74"/>
      <c r="D28" s="74"/>
      <c r="E28" s="75"/>
    </row>
    <row r="29" ht="15.75" customHeight="1">
      <c r="A29" s="67"/>
      <c r="B29" s="73"/>
      <c r="C29" s="74"/>
      <c r="D29" s="74"/>
      <c r="E29" s="75"/>
    </row>
    <row r="30" ht="15.75" customHeight="1">
      <c r="A30" s="67"/>
      <c r="B30" s="73"/>
      <c r="C30" s="74"/>
      <c r="D30" s="74"/>
      <c r="E30" s="75"/>
    </row>
    <row r="31" ht="15.75" customHeight="1">
      <c r="A31" s="67"/>
      <c r="B31" s="73"/>
      <c r="C31" s="74"/>
      <c r="D31" s="74"/>
      <c r="E31" s="75"/>
    </row>
    <row r="32" ht="15.75" customHeight="1">
      <c r="A32" s="67"/>
      <c r="B32" s="73"/>
      <c r="C32" s="74"/>
      <c r="D32" s="74"/>
      <c r="E32" s="75"/>
    </row>
    <row r="33" ht="15.75" customHeight="1">
      <c r="A33" s="67"/>
      <c r="B33" s="73"/>
      <c r="C33" s="74"/>
      <c r="D33" s="74"/>
      <c r="E33" s="75"/>
    </row>
    <row r="34" ht="15.75" customHeight="1">
      <c r="A34" s="67"/>
      <c r="B34" s="73"/>
      <c r="C34" s="74"/>
      <c r="D34" s="74"/>
      <c r="E34" s="75"/>
    </row>
    <row r="35" ht="15.75" customHeight="1">
      <c r="A35" s="67"/>
      <c r="B35" s="73"/>
      <c r="C35" s="74"/>
      <c r="D35" s="74"/>
      <c r="E35" s="75"/>
    </row>
    <row r="36" ht="15.75" customHeight="1">
      <c r="A36" s="67"/>
      <c r="B36" s="73"/>
      <c r="C36" s="74"/>
      <c r="D36" s="74"/>
      <c r="E36" s="75"/>
    </row>
    <row r="37" ht="15.75" customHeight="1">
      <c r="A37" s="67"/>
      <c r="B37" s="73"/>
      <c r="C37" s="74"/>
      <c r="D37" s="74"/>
      <c r="E37" s="75"/>
    </row>
    <row r="38" ht="15.75" customHeight="1">
      <c r="A38" s="67"/>
      <c r="B38" s="73"/>
      <c r="C38" s="74"/>
      <c r="D38" s="74"/>
      <c r="E38" s="75"/>
    </row>
    <row r="39" ht="15.75" customHeight="1">
      <c r="A39" s="67"/>
      <c r="B39" s="73"/>
      <c r="C39" s="74"/>
      <c r="D39" s="74"/>
      <c r="E39" s="75"/>
    </row>
    <row r="40" ht="15.75" customHeight="1">
      <c r="A40" s="67"/>
      <c r="B40" s="73"/>
      <c r="C40" s="74"/>
      <c r="D40" s="74"/>
      <c r="E40" s="75"/>
    </row>
    <row r="41" ht="15.75" customHeight="1">
      <c r="A41" s="67"/>
      <c r="B41" s="73"/>
      <c r="C41" s="74"/>
      <c r="D41" s="74"/>
      <c r="E41" s="75"/>
    </row>
    <row r="42" ht="15.75" customHeight="1">
      <c r="A42" s="67"/>
      <c r="B42" s="73"/>
      <c r="C42" s="74"/>
      <c r="D42" s="74"/>
      <c r="E42" s="75"/>
    </row>
    <row r="43" ht="15.75" customHeight="1">
      <c r="A43" s="67"/>
      <c r="B43" s="73"/>
      <c r="C43" s="74"/>
      <c r="D43" s="74"/>
      <c r="E43" s="75"/>
    </row>
    <row r="44" ht="15.75" customHeight="1">
      <c r="A44" s="67"/>
      <c r="B44" s="73"/>
      <c r="C44" s="74"/>
      <c r="D44" s="74"/>
      <c r="E44" s="75"/>
    </row>
    <row r="45" ht="15.75" customHeight="1">
      <c r="A45" s="67"/>
      <c r="B45" s="73"/>
      <c r="C45" s="74"/>
      <c r="D45" s="74"/>
      <c r="E45" s="75"/>
    </row>
    <row r="46" ht="15.75" customHeight="1">
      <c r="A46" s="67"/>
      <c r="B46" s="73"/>
      <c r="C46" s="74"/>
      <c r="D46" s="74"/>
      <c r="E46" s="75"/>
    </row>
    <row r="47" ht="15.75" customHeight="1">
      <c r="A47" s="67"/>
      <c r="B47" s="73"/>
      <c r="C47" s="74"/>
      <c r="D47" s="74"/>
      <c r="E47" s="75"/>
    </row>
    <row r="48" ht="15.75" customHeight="1">
      <c r="A48" s="67"/>
      <c r="B48" s="73"/>
      <c r="C48" s="74"/>
      <c r="D48" s="74"/>
      <c r="E48" s="75"/>
    </row>
    <row r="49" ht="15.75" customHeight="1">
      <c r="A49" s="67"/>
      <c r="B49" s="73"/>
      <c r="C49" s="74"/>
      <c r="D49" s="74"/>
      <c r="E49" s="75"/>
    </row>
    <row r="50" ht="15.75" customHeight="1">
      <c r="A50" s="67"/>
      <c r="B50" s="73"/>
      <c r="C50" s="74"/>
      <c r="D50" s="74"/>
      <c r="E50" s="75"/>
    </row>
    <row r="51" ht="15.75" customHeight="1">
      <c r="A51" s="67"/>
      <c r="B51" s="73"/>
      <c r="C51" s="74"/>
      <c r="D51" s="74"/>
      <c r="E51" s="75"/>
    </row>
    <row r="52" ht="15.75" customHeight="1">
      <c r="A52" s="67"/>
      <c r="B52" s="73"/>
      <c r="C52" s="74"/>
      <c r="D52" s="74"/>
      <c r="E52" s="75"/>
    </row>
    <row r="53" ht="15.75" customHeight="1">
      <c r="A53" s="67"/>
      <c r="B53" s="73"/>
      <c r="C53" s="74"/>
      <c r="D53" s="74"/>
      <c r="E53" s="75"/>
    </row>
    <row r="54" ht="15.75" customHeight="1">
      <c r="A54" s="67"/>
      <c r="B54" s="73"/>
      <c r="C54" s="74"/>
      <c r="D54" s="74"/>
      <c r="E54" s="75"/>
    </row>
    <row r="55" ht="15.75" customHeight="1">
      <c r="A55" s="67"/>
      <c r="B55" s="73"/>
      <c r="C55" s="74"/>
      <c r="D55" s="74"/>
      <c r="E55" s="75"/>
    </row>
    <row r="56" ht="15.75" customHeight="1">
      <c r="A56" s="67"/>
      <c r="B56" s="73"/>
      <c r="C56" s="74"/>
      <c r="D56" s="74"/>
      <c r="E56" s="75"/>
    </row>
    <row r="57" ht="15.75" customHeight="1">
      <c r="A57" s="67"/>
      <c r="B57" s="73"/>
      <c r="C57" s="74"/>
      <c r="D57" s="74"/>
      <c r="E57" s="75"/>
    </row>
    <row r="58" ht="15.75" customHeight="1">
      <c r="A58" s="67"/>
      <c r="B58" s="73"/>
      <c r="C58" s="74"/>
      <c r="D58" s="74"/>
      <c r="E58" s="75"/>
    </row>
    <row r="59" ht="15.75" customHeight="1">
      <c r="A59" s="67"/>
      <c r="B59" s="73"/>
      <c r="C59" s="74"/>
      <c r="D59" s="74"/>
      <c r="E59" s="75"/>
    </row>
    <row r="60" ht="15.75" customHeight="1">
      <c r="A60" s="67"/>
      <c r="B60" s="73"/>
      <c r="C60" s="74"/>
      <c r="D60" s="74"/>
      <c r="E60" s="75"/>
    </row>
    <row r="61" ht="15.75" customHeight="1">
      <c r="A61" s="67"/>
      <c r="B61" s="73"/>
      <c r="C61" s="74"/>
      <c r="D61" s="74"/>
      <c r="E61" s="75"/>
    </row>
    <row r="62" ht="15.75" customHeight="1">
      <c r="A62" s="67"/>
      <c r="B62" s="73"/>
      <c r="C62" s="74"/>
      <c r="D62" s="74"/>
      <c r="E62" s="75"/>
    </row>
    <row r="63" ht="15.75" customHeight="1">
      <c r="A63" s="67"/>
      <c r="B63" s="73"/>
      <c r="C63" s="74"/>
      <c r="D63" s="74"/>
      <c r="E63" s="75"/>
    </row>
    <row r="64" ht="15.75" customHeight="1">
      <c r="A64" s="67"/>
      <c r="B64" s="73"/>
      <c r="C64" s="74"/>
      <c r="D64" s="74"/>
      <c r="E64" s="75"/>
    </row>
    <row r="65" ht="15.75" customHeight="1">
      <c r="A65" s="67"/>
      <c r="B65" s="73"/>
      <c r="C65" s="74"/>
      <c r="D65" s="74"/>
      <c r="E65" s="75"/>
    </row>
    <row r="66" ht="15.75" customHeight="1">
      <c r="A66" s="67"/>
      <c r="B66" s="73"/>
      <c r="C66" s="74"/>
      <c r="D66" s="74"/>
      <c r="E66" s="75"/>
    </row>
    <row r="67" ht="15.75" customHeight="1">
      <c r="A67" s="67"/>
      <c r="B67" s="73"/>
      <c r="C67" s="74"/>
      <c r="D67" s="74"/>
      <c r="E67" s="75"/>
    </row>
    <row r="68" ht="15.75" customHeight="1">
      <c r="A68" s="67"/>
      <c r="B68" s="73"/>
      <c r="C68" s="74"/>
      <c r="D68" s="74"/>
      <c r="E68" s="75"/>
    </row>
    <row r="69" ht="15.75" customHeight="1">
      <c r="A69" s="67"/>
      <c r="B69" s="73"/>
      <c r="C69" s="74"/>
      <c r="D69" s="74"/>
      <c r="E69" s="75"/>
    </row>
    <row r="70" ht="15.75" customHeight="1">
      <c r="A70" s="67"/>
      <c r="B70" s="73"/>
      <c r="C70" s="74"/>
      <c r="D70" s="74"/>
      <c r="E70" s="75"/>
    </row>
    <row r="71" ht="15.75" customHeight="1">
      <c r="A71" s="67"/>
      <c r="B71" s="73"/>
      <c r="C71" s="74"/>
      <c r="D71" s="74"/>
      <c r="E71" s="75"/>
    </row>
    <row r="72" ht="15.75" customHeight="1">
      <c r="A72" s="67"/>
      <c r="B72" s="73"/>
      <c r="C72" s="74"/>
      <c r="D72" s="74"/>
      <c r="E72" s="75"/>
    </row>
    <row r="73" ht="15.75" customHeight="1">
      <c r="A73" s="67"/>
      <c r="B73" s="73"/>
      <c r="C73" s="74"/>
      <c r="D73" s="74"/>
      <c r="E73" s="75"/>
    </row>
    <row r="74" ht="15.75" customHeight="1">
      <c r="A74" s="67"/>
      <c r="B74" s="73"/>
      <c r="C74" s="74"/>
      <c r="D74" s="74"/>
      <c r="E74" s="75"/>
    </row>
    <row r="75" ht="15.75" customHeight="1">
      <c r="A75" s="67"/>
      <c r="B75" s="73"/>
      <c r="C75" s="74"/>
      <c r="D75" s="74"/>
      <c r="E75" s="75"/>
    </row>
    <row r="76" ht="15.75" customHeight="1">
      <c r="A76" s="67"/>
      <c r="B76" s="73"/>
      <c r="C76" s="74"/>
      <c r="D76" s="74"/>
      <c r="E76" s="75"/>
    </row>
    <row r="77" ht="15.75" customHeight="1">
      <c r="A77" s="67"/>
      <c r="B77" s="73"/>
      <c r="C77" s="74"/>
      <c r="D77" s="74"/>
      <c r="E77" s="75"/>
    </row>
    <row r="78" ht="15.75" customHeight="1">
      <c r="A78" s="67"/>
      <c r="B78" s="73"/>
      <c r="C78" s="74"/>
      <c r="D78" s="74"/>
      <c r="E78" s="75"/>
    </row>
    <row r="79" ht="15.75" customHeight="1">
      <c r="A79" s="67"/>
      <c r="B79" s="73"/>
      <c r="C79" s="74"/>
      <c r="D79" s="74"/>
      <c r="E79" s="75"/>
    </row>
    <row r="80" ht="15.75" customHeight="1">
      <c r="A80" s="67"/>
      <c r="B80" s="73"/>
      <c r="C80" s="74"/>
      <c r="D80" s="74"/>
      <c r="E80" s="75"/>
    </row>
    <row r="81" ht="15.75" customHeight="1">
      <c r="A81" s="67"/>
      <c r="B81" s="73"/>
      <c r="C81" s="74"/>
      <c r="D81" s="74"/>
      <c r="E81" s="75"/>
    </row>
    <row r="82" ht="15.75" customHeight="1">
      <c r="A82" s="67"/>
      <c r="B82" s="73"/>
      <c r="C82" s="74"/>
      <c r="D82" s="74"/>
      <c r="E82" s="75"/>
    </row>
    <row r="83" ht="15.75" customHeight="1">
      <c r="A83" s="67"/>
      <c r="B83" s="73"/>
      <c r="C83" s="74"/>
      <c r="D83" s="74"/>
      <c r="E83" s="75"/>
    </row>
    <row r="84" ht="15.75" customHeight="1">
      <c r="A84" s="67"/>
      <c r="B84" s="73"/>
      <c r="C84" s="74"/>
      <c r="D84" s="74"/>
      <c r="E84" s="75"/>
    </row>
    <row r="85" ht="15.75" customHeight="1">
      <c r="A85" s="67"/>
      <c r="B85" s="73"/>
      <c r="C85" s="74"/>
      <c r="D85" s="74"/>
      <c r="E85" s="75"/>
    </row>
    <row r="86" ht="15.75" customHeight="1">
      <c r="A86" s="67"/>
      <c r="B86" s="73"/>
      <c r="C86" s="74"/>
      <c r="D86" s="74"/>
      <c r="E86" s="75"/>
    </row>
    <row r="87" ht="15.75" customHeight="1">
      <c r="A87" s="67"/>
      <c r="B87" s="73"/>
      <c r="C87" s="74"/>
      <c r="D87" s="74"/>
      <c r="E87" s="75"/>
    </row>
    <row r="88" ht="15.75" customHeight="1">
      <c r="A88" s="67"/>
      <c r="B88" s="73"/>
      <c r="C88" s="74"/>
      <c r="D88" s="74"/>
      <c r="E88" s="75"/>
    </row>
    <row r="89" ht="15.75" customHeight="1">
      <c r="A89" s="67"/>
      <c r="B89" s="73"/>
      <c r="C89" s="74"/>
      <c r="D89" s="74"/>
      <c r="E89" s="75"/>
    </row>
    <row r="90" ht="15.75" customHeight="1">
      <c r="A90" s="67"/>
      <c r="B90" s="73"/>
      <c r="C90" s="74"/>
      <c r="D90" s="74"/>
      <c r="E90" s="75"/>
    </row>
    <row r="91" ht="15.75" customHeight="1">
      <c r="A91" s="67"/>
      <c r="B91" s="73"/>
      <c r="C91" s="74"/>
      <c r="D91" s="74"/>
      <c r="E91" s="75"/>
    </row>
    <row r="92" ht="15.75" customHeight="1">
      <c r="A92" s="67"/>
      <c r="B92" s="73"/>
      <c r="C92" s="74"/>
      <c r="D92" s="74"/>
      <c r="E92" s="75"/>
    </row>
    <row r="93" ht="15.75" customHeight="1">
      <c r="A93" s="67"/>
      <c r="B93" s="73"/>
      <c r="C93" s="74"/>
      <c r="D93" s="74"/>
      <c r="E93" s="75"/>
    </row>
    <row r="94" ht="15.75" customHeight="1">
      <c r="A94" s="67"/>
      <c r="B94" s="73"/>
      <c r="C94" s="74"/>
      <c r="D94" s="74"/>
      <c r="E94" s="75"/>
    </row>
    <row r="95" ht="15.75" customHeight="1">
      <c r="A95" s="67"/>
      <c r="B95" s="73"/>
      <c r="C95" s="74"/>
      <c r="D95" s="74"/>
      <c r="E95" s="75"/>
    </row>
    <row r="96" ht="15.75" customHeight="1">
      <c r="A96" s="67"/>
      <c r="B96" s="73"/>
      <c r="C96" s="74"/>
      <c r="D96" s="74"/>
      <c r="E96" s="75"/>
    </row>
    <row r="97" ht="15.75" customHeight="1">
      <c r="A97" s="67"/>
      <c r="B97" s="73"/>
      <c r="C97" s="74"/>
      <c r="D97" s="74"/>
      <c r="E97" s="75"/>
    </row>
    <row r="98" ht="15.75" customHeight="1">
      <c r="A98" s="67"/>
      <c r="B98" s="73"/>
      <c r="C98" s="74"/>
      <c r="D98" s="74"/>
      <c r="E98" s="75"/>
    </row>
    <row r="99" ht="15.75" customHeight="1">
      <c r="A99" s="67"/>
      <c r="B99" s="73"/>
      <c r="C99" s="74"/>
      <c r="D99" s="74"/>
      <c r="E99" s="75"/>
    </row>
    <row r="100" ht="15.75" customHeight="1">
      <c r="A100" s="67"/>
      <c r="B100" s="73"/>
      <c r="C100" s="74"/>
      <c r="D100" s="74"/>
      <c r="E100" s="75"/>
    </row>
    <row r="101" ht="15.75" customHeight="1">
      <c r="A101" s="67"/>
      <c r="B101" s="73"/>
      <c r="C101" s="74"/>
      <c r="D101" s="74"/>
      <c r="E101" s="75"/>
    </row>
    <row r="102" ht="15.75" customHeight="1">
      <c r="A102" s="67"/>
      <c r="B102" s="73"/>
      <c r="C102" s="74"/>
      <c r="D102" s="74"/>
      <c r="E102" s="75"/>
    </row>
    <row r="103" ht="15.75" customHeight="1">
      <c r="A103" s="67"/>
      <c r="B103" s="73"/>
      <c r="C103" s="74"/>
      <c r="D103" s="74"/>
      <c r="E103" s="75"/>
    </row>
    <row r="104" ht="15.75" customHeight="1">
      <c r="A104" s="67"/>
      <c r="B104" s="73"/>
      <c r="C104" s="74"/>
      <c r="D104" s="74"/>
      <c r="E104" s="75"/>
    </row>
    <row r="105" ht="15.75" customHeight="1">
      <c r="A105" s="67"/>
      <c r="B105" s="73"/>
      <c r="C105" s="74"/>
      <c r="D105" s="74"/>
      <c r="E105" s="75"/>
    </row>
    <row r="106" ht="15.75" customHeight="1">
      <c r="A106" s="67"/>
      <c r="B106" s="73"/>
      <c r="C106" s="74"/>
      <c r="D106" s="74"/>
      <c r="E106" s="75"/>
    </row>
    <row r="107" ht="15.75" customHeight="1">
      <c r="A107" s="67"/>
      <c r="B107" s="73"/>
      <c r="C107" s="74"/>
      <c r="D107" s="74"/>
      <c r="E107" s="75"/>
    </row>
    <row r="108" ht="15.75" customHeight="1">
      <c r="A108" s="67"/>
      <c r="B108" s="73"/>
      <c r="C108" s="74"/>
      <c r="D108" s="74"/>
      <c r="E108" s="75"/>
    </row>
    <row r="109" ht="15.75" customHeight="1">
      <c r="A109" s="67"/>
      <c r="B109" s="73"/>
      <c r="C109" s="74"/>
      <c r="D109" s="74"/>
      <c r="E109" s="75"/>
    </row>
    <row r="110" ht="15.75" customHeight="1">
      <c r="A110" s="67"/>
      <c r="B110" s="73"/>
      <c r="C110" s="74"/>
      <c r="D110" s="74"/>
      <c r="E110" s="75"/>
    </row>
    <row r="111" ht="15.75" customHeight="1">
      <c r="A111" s="67"/>
      <c r="B111" s="73"/>
      <c r="C111" s="74"/>
      <c r="D111" s="74"/>
      <c r="E111" s="75"/>
    </row>
    <row r="112" ht="15.75" customHeight="1">
      <c r="A112" s="67"/>
      <c r="B112" s="73"/>
      <c r="C112" s="74"/>
      <c r="D112" s="74"/>
      <c r="E112" s="75"/>
    </row>
    <row r="113" ht="15.75" customHeight="1">
      <c r="A113" s="67"/>
      <c r="B113" s="73"/>
      <c r="C113" s="74"/>
      <c r="D113" s="74"/>
      <c r="E113" s="75"/>
    </row>
    <row r="114" ht="15.75" customHeight="1">
      <c r="A114" s="67"/>
      <c r="B114" s="73"/>
      <c r="C114" s="74"/>
      <c r="D114" s="74"/>
      <c r="E114" s="75"/>
    </row>
    <row r="115" ht="15.75" customHeight="1">
      <c r="A115" s="67"/>
      <c r="B115" s="73"/>
      <c r="C115" s="74"/>
      <c r="D115" s="74"/>
      <c r="E115" s="75"/>
    </row>
    <row r="116" ht="15.75" customHeight="1">
      <c r="A116" s="67"/>
      <c r="B116" s="73"/>
      <c r="C116" s="74"/>
      <c r="D116" s="74"/>
      <c r="E116" s="75"/>
    </row>
    <row r="117" ht="15.75" customHeight="1">
      <c r="A117" s="67"/>
      <c r="B117" s="73"/>
      <c r="C117" s="74"/>
      <c r="D117" s="74"/>
      <c r="E117" s="75"/>
    </row>
    <row r="118" ht="15.75" customHeight="1">
      <c r="A118" s="67"/>
      <c r="B118" s="73"/>
      <c r="C118" s="74"/>
      <c r="D118" s="74"/>
      <c r="E118" s="75"/>
    </row>
    <row r="119" ht="15.75" customHeight="1">
      <c r="A119" s="67"/>
      <c r="B119" s="73"/>
      <c r="C119" s="74"/>
      <c r="D119" s="74"/>
      <c r="E119" s="75"/>
    </row>
    <row r="120" ht="15.75" customHeight="1">
      <c r="A120" s="67"/>
      <c r="B120" s="73"/>
      <c r="C120" s="74"/>
      <c r="D120" s="74"/>
      <c r="E120" s="75"/>
    </row>
    <row r="121" ht="15.75" customHeight="1">
      <c r="A121" s="67"/>
      <c r="B121" s="73"/>
      <c r="C121" s="74"/>
      <c r="D121" s="74"/>
      <c r="E121" s="75"/>
    </row>
    <row r="122" ht="15.75" customHeight="1">
      <c r="A122" s="67"/>
      <c r="B122" s="73"/>
      <c r="C122" s="74"/>
      <c r="D122" s="74"/>
      <c r="E122" s="75"/>
    </row>
    <row r="123" ht="15.75" customHeight="1">
      <c r="A123" s="67"/>
      <c r="B123" s="73"/>
      <c r="C123" s="74"/>
      <c r="D123" s="74"/>
      <c r="E123" s="75"/>
    </row>
    <row r="124" ht="15.75" customHeight="1">
      <c r="A124" s="67"/>
      <c r="B124" s="73"/>
      <c r="C124" s="74"/>
      <c r="D124" s="74"/>
      <c r="E124" s="75"/>
    </row>
    <row r="125" ht="15.75" customHeight="1">
      <c r="A125" s="67"/>
      <c r="B125" s="73"/>
      <c r="C125" s="74"/>
      <c r="D125" s="74"/>
      <c r="E125" s="75"/>
    </row>
    <row r="126" ht="15.75" customHeight="1">
      <c r="A126" s="67"/>
      <c r="B126" s="73"/>
      <c r="C126" s="74"/>
      <c r="D126" s="74"/>
      <c r="E126" s="75"/>
    </row>
    <row r="127" ht="15.75" customHeight="1">
      <c r="A127" s="67"/>
      <c r="B127" s="73"/>
      <c r="C127" s="74"/>
      <c r="D127" s="74"/>
      <c r="E127" s="75"/>
    </row>
    <row r="128" ht="15.75" customHeight="1">
      <c r="A128" s="67"/>
      <c r="B128" s="73"/>
      <c r="C128" s="74"/>
      <c r="D128" s="74"/>
      <c r="E128" s="75"/>
    </row>
    <row r="129" ht="15.75" customHeight="1">
      <c r="A129" s="67"/>
      <c r="B129" s="73"/>
      <c r="C129" s="74"/>
      <c r="D129" s="74"/>
      <c r="E129" s="75"/>
    </row>
    <row r="130" ht="15.75" customHeight="1">
      <c r="A130" s="67"/>
      <c r="B130" s="73"/>
      <c r="C130" s="74"/>
      <c r="D130" s="74"/>
      <c r="E130" s="75"/>
    </row>
    <row r="131" ht="15.75" customHeight="1">
      <c r="A131" s="67"/>
      <c r="B131" s="73"/>
      <c r="C131" s="74"/>
      <c r="D131" s="74"/>
      <c r="E131" s="75"/>
    </row>
    <row r="132" ht="15.75" customHeight="1">
      <c r="A132" s="67"/>
      <c r="B132" s="73"/>
      <c r="C132" s="74"/>
      <c r="D132" s="74"/>
      <c r="E132" s="75"/>
    </row>
    <row r="133" ht="15.75" customHeight="1">
      <c r="A133" s="67"/>
      <c r="B133" s="73"/>
      <c r="C133" s="74"/>
      <c r="D133" s="74"/>
      <c r="E133" s="75"/>
    </row>
    <row r="134" ht="15.75" customHeight="1">
      <c r="A134" s="67"/>
      <c r="B134" s="73"/>
      <c r="C134" s="74"/>
      <c r="D134" s="74"/>
      <c r="E134" s="75"/>
    </row>
    <row r="135" ht="15.75" customHeight="1">
      <c r="A135" s="67"/>
      <c r="B135" s="73"/>
      <c r="C135" s="74"/>
      <c r="D135" s="74"/>
      <c r="E135" s="75"/>
    </row>
    <row r="136" ht="15.75" customHeight="1">
      <c r="A136" s="67"/>
      <c r="B136" s="73"/>
      <c r="C136" s="74"/>
      <c r="D136" s="74"/>
      <c r="E136" s="75"/>
    </row>
    <row r="137" ht="15.75" customHeight="1">
      <c r="A137" s="67"/>
      <c r="B137" s="73"/>
      <c r="C137" s="74"/>
      <c r="D137" s="74"/>
      <c r="E137" s="75"/>
    </row>
    <row r="138" ht="15.75" customHeight="1">
      <c r="A138" s="67"/>
      <c r="B138" s="73"/>
      <c r="C138" s="74"/>
      <c r="D138" s="74"/>
      <c r="E138" s="75"/>
    </row>
    <row r="139" ht="15.75" customHeight="1">
      <c r="A139" s="67"/>
      <c r="B139" s="73"/>
      <c r="C139" s="74"/>
      <c r="D139" s="74"/>
      <c r="E139" s="75"/>
    </row>
    <row r="140" ht="15.75" customHeight="1">
      <c r="A140" s="67"/>
      <c r="B140" s="73"/>
      <c r="C140" s="74"/>
      <c r="D140" s="74"/>
      <c r="E140" s="75"/>
    </row>
    <row r="141" ht="15.75" customHeight="1">
      <c r="A141" s="67"/>
      <c r="B141" s="73"/>
      <c r="C141" s="74"/>
      <c r="D141" s="74"/>
      <c r="E141" s="75"/>
    </row>
    <row r="142" ht="15.75" customHeight="1">
      <c r="A142" s="67"/>
      <c r="B142" s="73"/>
      <c r="C142" s="74"/>
      <c r="D142" s="74"/>
      <c r="E142" s="75"/>
    </row>
    <row r="143" ht="15.75" customHeight="1">
      <c r="A143" s="67"/>
      <c r="B143" s="73"/>
      <c r="C143" s="74"/>
      <c r="D143" s="74"/>
      <c r="E143" s="75"/>
    </row>
    <row r="144" ht="15.75" customHeight="1">
      <c r="A144" s="67"/>
      <c r="B144" s="73"/>
      <c r="C144" s="74"/>
      <c r="D144" s="74"/>
      <c r="E144" s="75"/>
    </row>
    <row r="145" ht="15.75" customHeight="1">
      <c r="A145" s="67"/>
      <c r="B145" s="73"/>
      <c r="C145" s="74"/>
      <c r="D145" s="74"/>
      <c r="E145" s="75"/>
    </row>
    <row r="146" ht="15.75" customHeight="1">
      <c r="A146" s="67"/>
      <c r="B146" s="73"/>
      <c r="C146" s="74"/>
      <c r="D146" s="74"/>
      <c r="E146" s="75"/>
    </row>
    <row r="147" ht="15.75" customHeight="1">
      <c r="A147" s="67"/>
      <c r="B147" s="73"/>
      <c r="C147" s="74"/>
      <c r="D147" s="74"/>
      <c r="E147" s="75"/>
    </row>
    <row r="148" ht="15.75" customHeight="1">
      <c r="A148" s="67"/>
      <c r="B148" s="73"/>
      <c r="C148" s="74"/>
      <c r="D148" s="74"/>
      <c r="E148" s="75"/>
    </row>
    <row r="149" ht="15.75" customHeight="1">
      <c r="A149" s="67"/>
      <c r="B149" s="73"/>
      <c r="C149" s="74"/>
      <c r="D149" s="74"/>
      <c r="E149" s="75"/>
    </row>
    <row r="150" ht="15.75" customHeight="1">
      <c r="A150" s="67"/>
      <c r="B150" s="73"/>
      <c r="C150" s="74"/>
      <c r="D150" s="74"/>
      <c r="E150" s="75"/>
    </row>
    <row r="151" ht="15.75" customHeight="1">
      <c r="A151" s="67"/>
      <c r="B151" s="73"/>
      <c r="C151" s="74"/>
      <c r="D151" s="74"/>
      <c r="E151" s="75"/>
    </row>
    <row r="152" ht="15.75" customHeight="1">
      <c r="A152" s="67"/>
      <c r="B152" s="73"/>
      <c r="C152" s="74"/>
      <c r="D152" s="74"/>
      <c r="E152" s="75"/>
    </row>
    <row r="153" ht="15.75" customHeight="1">
      <c r="A153" s="67"/>
      <c r="B153" s="73"/>
      <c r="C153" s="74"/>
      <c r="D153" s="74"/>
      <c r="E153" s="75"/>
    </row>
    <row r="154" ht="15.75" customHeight="1">
      <c r="A154" s="67"/>
      <c r="B154" s="73"/>
      <c r="C154" s="74"/>
      <c r="D154" s="74"/>
      <c r="E154" s="75"/>
    </row>
    <row r="155" ht="15.75" customHeight="1">
      <c r="A155" s="67"/>
      <c r="B155" s="73"/>
      <c r="C155" s="74"/>
      <c r="D155" s="74"/>
      <c r="E155" s="75"/>
    </row>
    <row r="156" ht="15.75" customHeight="1">
      <c r="A156" s="67"/>
      <c r="B156" s="73"/>
      <c r="C156" s="74"/>
      <c r="D156" s="74"/>
      <c r="E156" s="75"/>
    </row>
    <row r="157" ht="15.75" customHeight="1">
      <c r="A157" s="67"/>
      <c r="B157" s="73"/>
      <c r="C157" s="74"/>
      <c r="D157" s="74"/>
      <c r="E157" s="75"/>
    </row>
    <row r="158" ht="15.75" customHeight="1">
      <c r="A158" s="67"/>
      <c r="B158" s="73"/>
      <c r="C158" s="74"/>
      <c r="D158" s="74"/>
      <c r="E158" s="75"/>
    </row>
    <row r="159" ht="15.75" customHeight="1">
      <c r="A159" s="67"/>
      <c r="B159" s="73"/>
      <c r="C159" s="74"/>
      <c r="D159" s="74"/>
      <c r="E159" s="75"/>
    </row>
    <row r="160" ht="15.75" customHeight="1">
      <c r="A160" s="67"/>
      <c r="B160" s="73"/>
      <c r="C160" s="74"/>
      <c r="D160" s="74"/>
      <c r="E160" s="75"/>
    </row>
    <row r="161" ht="15.75" customHeight="1">
      <c r="A161" s="67"/>
      <c r="B161" s="73"/>
      <c r="C161" s="74"/>
      <c r="D161" s="74"/>
      <c r="E161" s="75"/>
    </row>
    <row r="162" ht="15.75" customHeight="1">
      <c r="A162" s="67"/>
      <c r="B162" s="73"/>
      <c r="C162" s="74"/>
      <c r="D162" s="74"/>
      <c r="E162" s="75"/>
    </row>
    <row r="163" ht="15.75" customHeight="1">
      <c r="A163" s="67"/>
      <c r="B163" s="73"/>
      <c r="C163" s="74"/>
      <c r="D163" s="74"/>
      <c r="E163" s="75"/>
    </row>
    <row r="164" ht="15.75" customHeight="1">
      <c r="A164" s="67"/>
      <c r="B164" s="73"/>
      <c r="C164" s="74"/>
      <c r="D164" s="74"/>
      <c r="E164" s="75"/>
    </row>
    <row r="165" ht="15.75" customHeight="1">
      <c r="A165" s="67"/>
      <c r="B165" s="73"/>
      <c r="C165" s="74"/>
      <c r="D165" s="74"/>
      <c r="E165" s="75"/>
    </row>
    <row r="166" ht="15.75" customHeight="1">
      <c r="A166" s="67"/>
      <c r="B166" s="73"/>
      <c r="C166" s="74"/>
      <c r="D166" s="74"/>
      <c r="E166" s="75"/>
    </row>
    <row r="167" ht="15.75" customHeight="1">
      <c r="A167" s="67"/>
      <c r="B167" s="73"/>
      <c r="C167" s="74"/>
      <c r="D167" s="74"/>
      <c r="E167" s="75"/>
    </row>
    <row r="168" ht="15.75" customHeight="1">
      <c r="A168" s="67"/>
      <c r="B168" s="73"/>
      <c r="C168" s="74"/>
      <c r="D168" s="74"/>
      <c r="E168" s="75"/>
    </row>
    <row r="169" ht="15.75" customHeight="1">
      <c r="A169" s="67"/>
      <c r="B169" s="73"/>
      <c r="C169" s="74"/>
      <c r="D169" s="74"/>
      <c r="E169" s="75"/>
    </row>
    <row r="170" ht="15.75" customHeight="1">
      <c r="A170" s="67"/>
      <c r="B170" s="73"/>
      <c r="C170" s="74"/>
      <c r="D170" s="74"/>
      <c r="E170" s="75"/>
    </row>
    <row r="171" ht="15.75" customHeight="1">
      <c r="A171" s="67"/>
      <c r="B171" s="73"/>
      <c r="C171" s="74"/>
      <c r="D171" s="74"/>
      <c r="E171" s="75"/>
    </row>
    <row r="172" ht="15.75" customHeight="1">
      <c r="A172" s="67"/>
      <c r="B172" s="73"/>
      <c r="C172" s="74"/>
      <c r="D172" s="74"/>
      <c r="E172" s="75"/>
    </row>
    <row r="173" ht="15.75" customHeight="1">
      <c r="A173" s="67"/>
      <c r="B173" s="73"/>
      <c r="C173" s="74"/>
      <c r="D173" s="74"/>
      <c r="E173" s="75"/>
    </row>
    <row r="174" ht="15.75" customHeight="1">
      <c r="A174" s="67"/>
      <c r="B174" s="73"/>
      <c r="C174" s="74"/>
      <c r="D174" s="74"/>
      <c r="E174" s="75"/>
    </row>
    <row r="175" ht="15.75" customHeight="1">
      <c r="A175" s="67"/>
      <c r="B175" s="73"/>
      <c r="C175" s="74"/>
      <c r="D175" s="74"/>
      <c r="E175" s="75"/>
    </row>
    <row r="176" ht="15.75" customHeight="1">
      <c r="A176" s="67"/>
      <c r="B176" s="73"/>
      <c r="C176" s="74"/>
      <c r="D176" s="74"/>
      <c r="E176" s="75"/>
    </row>
    <row r="177" ht="15.75" customHeight="1">
      <c r="A177" s="67"/>
      <c r="B177" s="73"/>
      <c r="C177" s="74"/>
      <c r="D177" s="74"/>
      <c r="E177" s="75"/>
    </row>
    <row r="178" ht="15.75" customHeight="1">
      <c r="A178" s="67"/>
      <c r="B178" s="73"/>
      <c r="C178" s="74"/>
      <c r="D178" s="74"/>
      <c r="E178" s="75"/>
    </row>
    <row r="179" ht="15.75" customHeight="1">
      <c r="A179" s="67"/>
      <c r="B179" s="73"/>
      <c r="C179" s="74"/>
      <c r="D179" s="74"/>
      <c r="E179" s="75"/>
    </row>
    <row r="180" ht="15.75" customHeight="1">
      <c r="A180" s="67"/>
      <c r="B180" s="73"/>
      <c r="C180" s="74"/>
      <c r="D180" s="74"/>
      <c r="E180" s="75"/>
    </row>
    <row r="181" ht="15.75" customHeight="1">
      <c r="A181" s="67"/>
      <c r="B181" s="73"/>
      <c r="C181" s="74"/>
      <c r="D181" s="74"/>
      <c r="E181" s="75"/>
    </row>
    <row r="182" ht="15.75" customHeight="1">
      <c r="A182" s="67"/>
      <c r="B182" s="73"/>
      <c r="C182" s="74"/>
      <c r="D182" s="74"/>
      <c r="E182" s="75"/>
    </row>
    <row r="183" ht="15.75" customHeight="1">
      <c r="A183" s="67"/>
      <c r="B183" s="73"/>
      <c r="C183" s="74"/>
      <c r="D183" s="74"/>
      <c r="E183" s="75"/>
    </row>
    <row r="184" ht="15.75" customHeight="1">
      <c r="A184" s="67"/>
      <c r="B184" s="73"/>
      <c r="C184" s="74"/>
      <c r="D184" s="74"/>
      <c r="E184" s="75"/>
    </row>
    <row r="185" ht="15.75" customHeight="1">
      <c r="A185" s="67"/>
      <c r="B185" s="73"/>
      <c r="C185" s="74"/>
      <c r="D185" s="74"/>
      <c r="E185" s="75"/>
    </row>
    <row r="186" ht="15.75" customHeight="1">
      <c r="A186" s="67"/>
      <c r="B186" s="73"/>
      <c r="C186" s="74"/>
      <c r="D186" s="74"/>
      <c r="E186" s="75"/>
    </row>
    <row r="187" ht="15.75" customHeight="1">
      <c r="A187" s="67"/>
      <c r="B187" s="73"/>
      <c r="C187" s="74"/>
      <c r="D187" s="74"/>
      <c r="E187" s="75"/>
    </row>
    <row r="188" ht="15.75" customHeight="1">
      <c r="A188" s="67"/>
      <c r="B188" s="73"/>
      <c r="C188" s="74"/>
      <c r="D188" s="74"/>
      <c r="E188" s="75"/>
    </row>
    <row r="189" ht="15.75" customHeight="1">
      <c r="A189" s="67"/>
      <c r="B189" s="73"/>
      <c r="C189" s="74"/>
      <c r="D189" s="74"/>
      <c r="E189" s="75"/>
    </row>
    <row r="190" ht="15.75" customHeight="1">
      <c r="A190" s="67"/>
      <c r="B190" s="73"/>
      <c r="C190" s="74"/>
      <c r="D190" s="74"/>
      <c r="E190" s="75"/>
    </row>
    <row r="191" ht="15.75" customHeight="1">
      <c r="A191" s="67"/>
      <c r="B191" s="73"/>
      <c r="C191" s="74"/>
      <c r="D191" s="74"/>
      <c r="E191" s="75"/>
    </row>
    <row r="192" ht="15.75" customHeight="1">
      <c r="A192" s="67"/>
      <c r="B192" s="73"/>
      <c r="C192" s="74"/>
      <c r="D192" s="74"/>
      <c r="E192" s="75"/>
    </row>
    <row r="193" ht="15.75" customHeight="1">
      <c r="A193" s="67"/>
      <c r="B193" s="73"/>
      <c r="C193" s="74"/>
      <c r="D193" s="74"/>
      <c r="E193" s="75"/>
    </row>
    <row r="194" ht="15.75" customHeight="1">
      <c r="A194" s="67"/>
      <c r="B194" s="73"/>
      <c r="C194" s="74"/>
      <c r="D194" s="74"/>
      <c r="E194" s="75"/>
    </row>
    <row r="195" ht="15.75" customHeight="1">
      <c r="A195" s="67"/>
      <c r="B195" s="73"/>
      <c r="C195" s="74"/>
      <c r="D195" s="74"/>
      <c r="E195" s="75"/>
    </row>
    <row r="196" ht="15.75" customHeight="1">
      <c r="A196" s="67"/>
      <c r="B196" s="73"/>
      <c r="C196" s="74"/>
      <c r="D196" s="74"/>
      <c r="E196" s="75"/>
    </row>
    <row r="197" ht="15.75" customHeight="1">
      <c r="A197" s="67"/>
      <c r="B197" s="73"/>
      <c r="C197" s="74"/>
      <c r="D197" s="74"/>
      <c r="E197" s="75"/>
    </row>
    <row r="198" ht="15.75" customHeight="1">
      <c r="A198" s="67"/>
      <c r="B198" s="73"/>
      <c r="C198" s="74"/>
      <c r="D198" s="74"/>
      <c r="E198" s="75"/>
    </row>
    <row r="199" ht="15.75" customHeight="1">
      <c r="A199" s="67"/>
      <c r="B199" s="73"/>
      <c r="C199" s="74"/>
      <c r="D199" s="74"/>
      <c r="E199" s="75"/>
    </row>
    <row r="200" ht="15.75" customHeight="1">
      <c r="A200" s="67"/>
      <c r="B200" s="73"/>
      <c r="C200" s="74"/>
      <c r="D200" s="74"/>
      <c r="E200" s="75"/>
    </row>
    <row r="201" ht="15.75" customHeight="1">
      <c r="A201" s="67"/>
      <c r="B201" s="73"/>
      <c r="C201" s="74"/>
      <c r="D201" s="74"/>
      <c r="E201" s="75"/>
    </row>
    <row r="202" ht="15.75" customHeight="1">
      <c r="A202" s="67"/>
      <c r="B202" s="73"/>
      <c r="C202" s="74"/>
      <c r="D202" s="74"/>
      <c r="E202" s="75"/>
    </row>
    <row r="203" ht="15.75" customHeight="1">
      <c r="A203" s="67"/>
      <c r="B203" s="73"/>
      <c r="C203" s="74"/>
      <c r="D203" s="74"/>
      <c r="E203" s="75"/>
    </row>
    <row r="204" ht="15.75" customHeight="1">
      <c r="A204" s="67"/>
      <c r="B204" s="73"/>
      <c r="C204" s="74"/>
      <c r="D204" s="74"/>
      <c r="E204" s="75"/>
    </row>
    <row r="205" ht="15.75" customHeight="1">
      <c r="A205" s="67"/>
      <c r="B205" s="73"/>
      <c r="C205" s="74"/>
      <c r="D205" s="74"/>
      <c r="E205" s="75"/>
    </row>
    <row r="206" ht="15.75" customHeight="1">
      <c r="A206" s="67"/>
      <c r="B206" s="73"/>
      <c r="C206" s="74"/>
      <c r="D206" s="74"/>
      <c r="E206" s="75"/>
    </row>
    <row r="207" ht="15.75" customHeight="1">
      <c r="A207" s="67"/>
      <c r="B207" s="73"/>
      <c r="C207" s="74"/>
      <c r="D207" s="74"/>
      <c r="E207" s="75"/>
    </row>
    <row r="208" ht="15.75" customHeight="1">
      <c r="A208" s="67"/>
      <c r="B208" s="73"/>
      <c r="C208" s="74"/>
      <c r="D208" s="74"/>
      <c r="E208" s="75"/>
    </row>
    <row r="209" ht="15.75" customHeight="1">
      <c r="A209" s="67"/>
      <c r="B209" s="73"/>
      <c r="C209" s="74"/>
      <c r="D209" s="74"/>
      <c r="E209" s="75"/>
    </row>
    <row r="210" ht="15.75" customHeight="1">
      <c r="A210" s="67"/>
      <c r="B210" s="73"/>
      <c r="C210" s="74"/>
      <c r="D210" s="74"/>
      <c r="E210" s="75"/>
    </row>
    <row r="211" ht="15.75" customHeight="1">
      <c r="A211" s="67"/>
      <c r="B211" s="73"/>
      <c r="C211" s="74"/>
      <c r="D211" s="74"/>
      <c r="E211" s="75"/>
    </row>
    <row r="212" ht="15.75" customHeight="1">
      <c r="A212" s="67"/>
      <c r="B212" s="73"/>
      <c r="C212" s="74"/>
      <c r="D212" s="74"/>
      <c r="E212" s="75"/>
    </row>
    <row r="213" ht="15.75" customHeight="1">
      <c r="A213" s="67"/>
      <c r="B213" s="73"/>
      <c r="C213" s="74"/>
      <c r="D213" s="74"/>
      <c r="E213" s="75"/>
    </row>
    <row r="214" ht="15.75" customHeight="1">
      <c r="A214" s="67"/>
      <c r="B214" s="73"/>
      <c r="C214" s="74"/>
      <c r="D214" s="74"/>
      <c r="E214" s="75"/>
    </row>
    <row r="215" ht="15.75" customHeight="1">
      <c r="A215" s="67"/>
      <c r="B215" s="73"/>
      <c r="C215" s="74"/>
      <c r="D215" s="74"/>
      <c r="E215" s="75"/>
    </row>
    <row r="216" ht="15.75" customHeight="1">
      <c r="A216" s="67"/>
      <c r="B216" s="73"/>
      <c r="C216" s="74"/>
      <c r="D216" s="74"/>
      <c r="E216" s="75"/>
    </row>
    <row r="217" ht="15.75" customHeight="1">
      <c r="A217" s="67"/>
      <c r="B217" s="73"/>
      <c r="C217" s="74"/>
      <c r="D217" s="74"/>
      <c r="E217" s="75"/>
    </row>
    <row r="218" ht="15.75" customHeight="1">
      <c r="A218" s="67"/>
      <c r="B218" s="73"/>
      <c r="C218" s="74"/>
      <c r="D218" s="74"/>
      <c r="E218" s="75"/>
    </row>
    <row r="219" ht="15.75" customHeight="1">
      <c r="A219" s="67"/>
      <c r="B219" s="73"/>
      <c r="C219" s="74"/>
      <c r="D219" s="74"/>
      <c r="E219" s="75"/>
    </row>
    <row r="220" ht="15.75" customHeight="1">
      <c r="A220" s="67"/>
      <c r="B220" s="73"/>
      <c r="C220" s="74"/>
      <c r="D220" s="74"/>
      <c r="E220" s="75"/>
    </row>
  </sheetData>
  <dataValidations>
    <dataValidation type="list" allowBlank="1" sqref="B2:B220">
      <formula1>Lists!$A$2:$A$4</formula1>
    </dataValidation>
    <dataValidation type="list" allowBlank="1" sqref="A2:A220">
      <formula1>Lists!$C$2:$C$13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3" max="3" width="16.57"/>
    <col customWidth="1" min="4" max="4" width="24.43"/>
  </cols>
  <sheetData>
    <row r="1" ht="17.25" customHeight="1">
      <c r="A1" s="76" t="s">
        <v>208</v>
      </c>
    </row>
    <row r="2" ht="17.25" customHeight="1">
      <c r="A2" s="77"/>
      <c r="B2" s="77"/>
      <c r="C2" s="77"/>
      <c r="D2" s="77"/>
    </row>
    <row r="3" ht="17.25" customHeight="1">
      <c r="A3" s="78" t="s">
        <v>215</v>
      </c>
      <c r="B3" s="78" t="s">
        <v>39</v>
      </c>
      <c r="C3" s="78" t="s">
        <v>218</v>
      </c>
      <c r="D3" s="78" t="s">
        <v>193</v>
      </c>
    </row>
    <row r="4" ht="17.25" customHeight="1">
      <c r="A4" s="68" t="s">
        <v>220</v>
      </c>
      <c r="B4" s="68" t="s">
        <v>30</v>
      </c>
      <c r="C4" s="79">
        <v>484690.0</v>
      </c>
      <c r="D4" s="80"/>
    </row>
    <row r="5" ht="17.25" customHeight="1">
      <c r="A5" s="68" t="s">
        <v>224</v>
      </c>
      <c r="B5" s="68" t="s">
        <v>24</v>
      </c>
      <c r="C5" s="79">
        <v>346000.0</v>
      </c>
      <c r="D5" s="80"/>
    </row>
    <row r="6" ht="17.25" customHeight="1">
      <c r="A6" s="68" t="s">
        <v>225</v>
      </c>
      <c r="B6" s="68" t="s">
        <v>24</v>
      </c>
      <c r="C6" s="79"/>
      <c r="D6" s="81" t="s">
        <v>227</v>
      </c>
    </row>
    <row r="7" ht="17.25" customHeight="1">
      <c r="A7" s="68" t="s">
        <v>229</v>
      </c>
      <c r="B7" s="68" t="s">
        <v>30</v>
      </c>
      <c r="C7" s="79">
        <v>-7464.0</v>
      </c>
      <c r="D7" s="81" t="s">
        <v>230</v>
      </c>
    </row>
    <row r="8" ht="17.25" customHeight="1">
      <c r="A8" s="68" t="s">
        <v>232</v>
      </c>
      <c r="B8" s="68" t="s">
        <v>24</v>
      </c>
      <c r="C8" s="79">
        <v>56160.0</v>
      </c>
      <c r="D8" s="80"/>
    </row>
    <row r="9" ht="17.25" customHeight="1">
      <c r="A9" s="68" t="s">
        <v>38</v>
      </c>
      <c r="B9" s="68" t="s">
        <v>24</v>
      </c>
      <c r="C9" s="79"/>
      <c r="D9" s="81" t="s">
        <v>233</v>
      </c>
    </row>
    <row r="10" ht="17.25" customHeight="1">
      <c r="A10" s="68" t="s">
        <v>234</v>
      </c>
      <c r="B10" s="68" t="s">
        <v>29</v>
      </c>
      <c r="C10" s="79">
        <v>0.0</v>
      </c>
      <c r="D10" s="81"/>
    </row>
    <row r="11" ht="17.25" customHeight="1">
      <c r="A11" s="68" t="s">
        <v>235</v>
      </c>
      <c r="B11" s="68" t="s">
        <v>30</v>
      </c>
      <c r="C11" s="79">
        <v>151199.0</v>
      </c>
      <c r="D11" s="81" t="s">
        <v>236</v>
      </c>
    </row>
    <row r="12" ht="17.25" customHeight="1">
      <c r="A12" s="68"/>
      <c r="B12" s="68"/>
      <c r="C12" s="79"/>
      <c r="D12" s="81"/>
    </row>
    <row r="13" ht="17.25" customHeight="1">
      <c r="A13" s="68"/>
      <c r="B13" s="68"/>
      <c r="C13" s="79"/>
      <c r="D13" s="81"/>
    </row>
    <row r="14" ht="17.25" customHeight="1">
      <c r="A14" s="82" t="s">
        <v>150</v>
      </c>
      <c r="B14" s="83"/>
      <c r="C14" s="84">
        <f>SUM(C4:C13)</f>
        <v>1030585</v>
      </c>
      <c r="D14" s="83"/>
    </row>
    <row r="15" ht="17.25" customHeight="1">
      <c r="A15" s="77"/>
      <c r="B15" s="77"/>
      <c r="C15" s="77"/>
      <c r="D15" s="77"/>
    </row>
    <row r="16" ht="17.25" customHeight="1">
      <c r="A16" s="75"/>
      <c r="B16" s="75"/>
      <c r="C16" s="75"/>
      <c r="D16" s="75"/>
    </row>
    <row r="17" ht="17.25" customHeight="1">
      <c r="A17" s="75"/>
      <c r="B17" s="75"/>
      <c r="C17" s="75"/>
      <c r="D17" s="75"/>
    </row>
    <row r="18" ht="17.25" customHeight="1">
      <c r="A18" s="75"/>
      <c r="B18" s="75"/>
      <c r="C18" s="75"/>
      <c r="D18" s="75"/>
    </row>
    <row r="19" ht="17.25" customHeight="1">
      <c r="A19" s="75"/>
      <c r="B19" s="75"/>
      <c r="C19" s="75"/>
      <c r="D19" s="75"/>
    </row>
    <row r="20" ht="17.25" customHeight="1">
      <c r="A20" s="75"/>
      <c r="B20" s="75"/>
      <c r="C20" s="75"/>
      <c r="D20" s="75"/>
    </row>
    <row r="21" ht="17.25" customHeight="1">
      <c r="A21" s="75"/>
      <c r="B21" s="75"/>
      <c r="C21" s="75"/>
      <c r="D21" s="75"/>
    </row>
    <row r="22" ht="17.25" customHeight="1">
      <c r="A22" s="75"/>
      <c r="B22" s="75"/>
      <c r="C22" s="75"/>
      <c r="D22" s="75"/>
    </row>
    <row r="23" ht="17.25" customHeight="1">
      <c r="A23" s="75"/>
      <c r="B23" s="75"/>
      <c r="C23" s="75"/>
      <c r="D23" s="75"/>
    </row>
    <row r="24" ht="17.25" customHeight="1">
      <c r="A24" s="75"/>
      <c r="B24" s="75"/>
      <c r="C24" s="75"/>
      <c r="D24" s="75"/>
    </row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5" width="8.71"/>
  </cols>
  <sheetData>
    <row r="1">
      <c r="A1" s="5" t="s">
        <v>258</v>
      </c>
    </row>
    <row r="3">
      <c r="A3" s="2" t="s">
        <v>260</v>
      </c>
      <c r="B3" s="86">
        <v>46257.0</v>
      </c>
    </row>
    <row r="4">
      <c r="A4" s="2" t="s">
        <v>265</v>
      </c>
      <c r="B4" s="87">
        <v>5000000.0</v>
      </c>
    </row>
    <row r="5">
      <c r="A5" s="2" t="s">
        <v>266</v>
      </c>
      <c r="B5" s="88">
        <v>3718510.0</v>
      </c>
    </row>
    <row r="6">
      <c r="A6" s="2" t="s">
        <v>269</v>
      </c>
      <c r="B6" s="89">
        <f>B4-B5</f>
        <v>1281490</v>
      </c>
    </row>
    <row r="7">
      <c r="A7" s="2" t="s">
        <v>275</v>
      </c>
      <c r="B7" s="88">
        <v>228763.0</v>
      </c>
    </row>
    <row r="8">
      <c r="A8" s="2" t="s">
        <v>277</v>
      </c>
      <c r="B8" s="88">
        <v>1.3326E7</v>
      </c>
    </row>
    <row r="9">
      <c r="A9" s="2" t="s">
        <v>279</v>
      </c>
      <c r="B9" s="88">
        <v>0.0</v>
      </c>
    </row>
    <row r="10">
      <c r="A10" s="2" t="s">
        <v>280</v>
      </c>
      <c r="B10" s="88">
        <v>0.0</v>
      </c>
    </row>
    <row r="11">
      <c r="A11" s="2" t="s">
        <v>282</v>
      </c>
      <c r="B11" s="90">
        <f>SUMIFS(Debit!$G:$G,Debit!$E:$E,Lists!$B$6)</f>
        <v>1488558.25</v>
      </c>
    </row>
    <row r="12">
      <c r="A12" s="2" t="s">
        <v>290</v>
      </c>
      <c r="B12" s="90">
        <f>B9+B10-B11</f>
        <v>-1488558.25</v>
      </c>
    </row>
    <row r="14">
      <c r="A14" s="91" t="s">
        <v>296</v>
      </c>
    </row>
  </sheetData>
  <dataValidations>
    <dataValidation type="custom" allowBlank="1" showDropDown="1" showErrorMessage="1" sqref="B3">
      <formula1>OR(NOT(ISERROR(DATEVALUE(B3))), AND(ISNUMBER(B3), LEFT(CELL("format", B3))="D"))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9.14"/>
    <col customWidth="1" min="4" max="4" width="14.0"/>
    <col customWidth="1" min="5" max="5" width="17.0"/>
    <col customWidth="1" min="6" max="6" width="14.0"/>
  </cols>
  <sheetData>
    <row r="1">
      <c r="A1" s="5" t="s">
        <v>315</v>
      </c>
    </row>
    <row r="3">
      <c r="A3" s="25" t="s">
        <v>190</v>
      </c>
      <c r="B3" s="25" t="s">
        <v>39</v>
      </c>
      <c r="C3" s="25" t="s">
        <v>19</v>
      </c>
      <c r="D3" s="25" t="s">
        <v>318</v>
      </c>
      <c r="E3" s="25" t="s">
        <v>319</v>
      </c>
      <c r="F3" s="25" t="s">
        <v>321</v>
      </c>
    </row>
    <row r="4">
      <c r="A4" s="9" t="s">
        <v>26</v>
      </c>
      <c r="B4" s="9" t="str">
        <f>Lists!$A$2</f>
        <v>Fibre Unit</v>
      </c>
      <c r="C4" s="9" t="str">
        <f>Lists!$B$2</f>
        <v>Shareholder - Jagadeesan</v>
      </c>
      <c r="D4" s="92">
        <f>SUMIFS(Debit!$G:$G,Debit!$B:$B,Lists!$A$2,Debit!$E:$E,Lists!$B$2,Debit!$C:$C,Lists!$E$2,Debit!$A:$A,"&gt;="&amp;Lists!$D$2,Debit!$A:$A,"&lt;"&amp;EDATE(Lists!$D$2,1))</f>
        <v>0</v>
      </c>
      <c r="E4" s="92">
        <f>SUMIFS(Debit!$G:$G,Debit!$B:$B,Lists!$A$2,Debit!$E:$E,Lists!$B$2,Debit!$C:$C,Lists!$E$3,Debit!$A:$A,"&gt;="&amp;Lists!$D$2,Debit!$A:$A,"&lt;"&amp;EDATE(Lists!$D$2,1))</f>
        <v>0</v>
      </c>
      <c r="F4" s="92">
        <f t="shared" ref="F4:F255" si="1">D4+E4</f>
        <v>0</v>
      </c>
    </row>
    <row r="5">
      <c r="A5" s="9" t="s">
        <v>26</v>
      </c>
      <c r="B5" s="9" t="str">
        <f>Lists!$A$2</f>
        <v>Fibre Unit</v>
      </c>
      <c r="C5" s="9" t="str">
        <f>Lists!$B$3</f>
        <v>Shareholder - Jagadeshwaran</v>
      </c>
      <c r="D5" s="92">
        <f>SUMIFS(Debit!$G:$G,Debit!$B:$B,Lists!$A$2,Debit!$E:$E,Lists!$B$3,Debit!$C:$C,Lists!$E$2,Debit!$A:$A,"&gt;="&amp;Lists!$D$2,Debit!$A:$A,"&lt;"&amp;EDATE(Lists!$D$2,1))</f>
        <v>0</v>
      </c>
      <c r="E5" s="92">
        <f>SUMIFS(Debit!$G:$G,Debit!$B:$B,Lists!$A$2,Debit!$E:$E,Lists!$B$3,Debit!$C:$C,Lists!$E$3,Debit!$A:$A,"&gt;="&amp;Lists!$D$2,Debit!$A:$A,"&lt;"&amp;EDATE(Lists!$D$2,1))</f>
        <v>0</v>
      </c>
      <c r="F5" s="92">
        <f t="shared" si="1"/>
        <v>0</v>
      </c>
    </row>
    <row r="6">
      <c r="A6" s="9" t="s">
        <v>26</v>
      </c>
      <c r="B6" s="9" t="str">
        <f>Lists!$A$2</f>
        <v>Fibre Unit</v>
      </c>
      <c r="C6" s="9" t="str">
        <f>Lists!$B$4</f>
        <v>Shareholder - Vellingiri</v>
      </c>
      <c r="D6" s="92">
        <f>SUMIFS(Debit!$G:$G,Debit!$B:$B,Lists!$A$2,Debit!$E:$E,Lists!$B$4,Debit!$C:$C,Lists!$E$2,Debit!$A:$A,"&gt;="&amp;Lists!$D$2,Debit!$A:$A,"&lt;"&amp;EDATE(Lists!$D$2,1))</f>
        <v>0</v>
      </c>
      <c r="E6" s="92">
        <f>SUMIFS(Debit!$G:$G,Debit!$B:$B,Lists!$A$2,Debit!$E:$E,Lists!$B$4,Debit!$C:$C,Lists!$E$3,Debit!$A:$A,"&gt;="&amp;Lists!$D$2,Debit!$A:$A,"&lt;"&amp;EDATE(Lists!$D$2,1))</f>
        <v>0</v>
      </c>
      <c r="F6" s="92">
        <f t="shared" si="1"/>
        <v>0</v>
      </c>
    </row>
    <row r="7">
      <c r="A7" s="9" t="s">
        <v>26</v>
      </c>
      <c r="B7" s="9" t="str">
        <f>Lists!$A$2</f>
        <v>Fibre Unit</v>
      </c>
      <c r="C7" s="9" t="str">
        <f>Lists!$B$5</f>
        <v>Vikas</v>
      </c>
      <c r="D7" s="92">
        <f>SUMIFS(Debit!$G:$G,Debit!$B:$B,Lists!$A$2,Debit!$E:$E,Lists!$B$5,Debit!$C:$C,Lists!$E$2,Debit!$A:$A,"&gt;="&amp;Lists!$D$2,Debit!$A:$A,"&lt;"&amp;EDATE(Lists!$D$2,1))</f>
        <v>0</v>
      </c>
      <c r="E7" s="92">
        <f>SUMIFS(Debit!$G:$G,Debit!$B:$B,Lists!$A$2,Debit!$E:$E,Lists!$B$5,Debit!$C:$C,Lists!$E$3,Debit!$A:$A,"&gt;="&amp;Lists!$D$2,Debit!$A:$A,"&lt;"&amp;EDATE(Lists!$D$2,1))</f>
        <v>0</v>
      </c>
      <c r="F7" s="92">
        <f t="shared" si="1"/>
        <v>0</v>
      </c>
    </row>
    <row r="8">
      <c r="A8" s="9" t="s">
        <v>26</v>
      </c>
      <c r="B8" s="9" t="str">
        <f>Lists!$A$2</f>
        <v>Fibre Unit</v>
      </c>
      <c r="C8" s="9" t="str">
        <f>Lists!$B$6</f>
        <v>Payable to Alam</v>
      </c>
      <c r="D8" s="92">
        <f>SUMIFS(Debit!$G:$G,Debit!$B:$B,Lists!$A$2,Debit!$E:$E,Lists!$B$6,Debit!$C:$C,Lists!$E$2,Debit!$A:$A,"&gt;="&amp;Lists!$D$2,Debit!$A:$A,"&lt;"&amp;EDATE(Lists!$D$2,1))</f>
        <v>0</v>
      </c>
      <c r="E8" s="92">
        <f>SUMIFS(Debit!$G:$G,Debit!$B:$B,Lists!$A$2,Debit!$E:$E,Lists!$B$6,Debit!$C:$C,Lists!$E$3,Debit!$A:$A,"&gt;="&amp;Lists!$D$2,Debit!$A:$A,"&lt;"&amp;EDATE(Lists!$D$2,1))</f>
        <v>0</v>
      </c>
      <c r="F8" s="92">
        <f t="shared" si="1"/>
        <v>0</v>
      </c>
    </row>
    <row r="9">
      <c r="A9" s="9" t="s">
        <v>26</v>
      </c>
      <c r="B9" s="9" t="str">
        <f>Lists!$A$2</f>
        <v>Fibre Unit</v>
      </c>
      <c r="C9" s="9" t="str">
        <f>Lists!$B$7</f>
        <v>Union Bank - CC</v>
      </c>
      <c r="D9" s="92">
        <f>SUMIFS(Debit!$G:$G,Debit!$B:$B,Lists!$A$2,Debit!$E:$E,Lists!$B$7,Debit!$C:$C,Lists!$E$2,Debit!$A:$A,"&gt;="&amp;Lists!$D$2,Debit!$A:$A,"&lt;"&amp;EDATE(Lists!$D$2,1))</f>
        <v>0</v>
      </c>
      <c r="E9" s="92">
        <f>SUMIFS(Debit!$G:$G,Debit!$B:$B,Lists!$A$2,Debit!$E:$E,Lists!$B$7,Debit!$C:$C,Lists!$E$3,Debit!$A:$A,"&gt;="&amp;Lists!$D$2,Debit!$A:$A,"&lt;"&amp;EDATE(Lists!$D$2,1))</f>
        <v>0</v>
      </c>
      <c r="F9" s="92">
        <f t="shared" si="1"/>
        <v>0</v>
      </c>
    </row>
    <row r="10">
      <c r="A10" s="9" t="s">
        <v>26</v>
      </c>
      <c r="B10" s="9" t="str">
        <f>Lists!$A$2</f>
        <v>Fibre Unit</v>
      </c>
      <c r="C10" s="9" t="str">
        <f>Lists!$B$8</f>
        <v>Union Bank - Current</v>
      </c>
      <c r="D10" s="92">
        <f>SUMIFS(Debit!$G:$G,Debit!$B:$B,Lists!$A$2,Debit!$E:$E,Lists!$B$8,Debit!$C:$C,Lists!$E$2,Debit!$A:$A,"&gt;="&amp;Lists!$D$2,Debit!$A:$A,"&lt;"&amp;EDATE(Lists!$D$2,1))</f>
        <v>0</v>
      </c>
      <c r="E10" s="92">
        <f>SUMIFS(Debit!$G:$G,Debit!$B:$B,Lists!$A$2,Debit!$E:$E,Lists!$B$8,Debit!$C:$C,Lists!$E$3,Debit!$A:$A,"&gt;="&amp;Lists!$D$2,Debit!$A:$A,"&lt;"&amp;EDATE(Lists!$D$2,1))</f>
        <v>0</v>
      </c>
      <c r="F10" s="92">
        <f t="shared" si="1"/>
        <v>0</v>
      </c>
    </row>
    <row r="11">
      <c r="A11" s="9" t="s">
        <v>26</v>
      </c>
      <c r="B11" s="9" t="str">
        <f>Lists!$A$3</f>
        <v>Chips Unit</v>
      </c>
      <c r="C11" s="9" t="str">
        <f>Lists!$B$2</f>
        <v>Shareholder - Jagadeesan</v>
      </c>
      <c r="D11" s="92">
        <f>SUMIFS(Debit!$G:$G,Debit!$B:$B,Lists!$A$3,Debit!$E:$E,Lists!$B$2,Debit!$C:$C,Lists!$E$2,Debit!$A:$A,"&gt;="&amp;Lists!$D$2,Debit!$A:$A,"&lt;"&amp;EDATE(Lists!$D$2,1))</f>
        <v>23020</v>
      </c>
      <c r="E11" s="92">
        <f>SUMIFS(Debit!$G:$G,Debit!$B:$B,Lists!$A$3,Debit!$E:$E,Lists!$B$2,Debit!$C:$C,Lists!$E$3,Debit!$A:$A,"&gt;="&amp;Lists!$D$2,Debit!$A:$A,"&lt;"&amp;EDATE(Lists!$D$2,1))</f>
        <v>0</v>
      </c>
      <c r="F11" s="92">
        <f t="shared" si="1"/>
        <v>23020</v>
      </c>
    </row>
    <row r="12">
      <c r="A12" s="9" t="s">
        <v>26</v>
      </c>
      <c r="B12" s="9" t="str">
        <f>Lists!$A$3</f>
        <v>Chips Unit</v>
      </c>
      <c r="C12" s="9" t="str">
        <f>Lists!$B$3</f>
        <v>Shareholder - Jagadeshwaran</v>
      </c>
      <c r="D12" s="92">
        <f>SUMIFS(Debit!$G:$G,Debit!$B:$B,Lists!$A$3,Debit!$E:$E,Lists!$B$3,Debit!$C:$C,Lists!$E$2,Debit!$A:$A,"&gt;="&amp;Lists!$D$2,Debit!$A:$A,"&lt;"&amp;EDATE(Lists!$D$2,1))</f>
        <v>500</v>
      </c>
      <c r="E12" s="92">
        <f>SUMIFS(Debit!$G:$G,Debit!$B:$B,Lists!$A$3,Debit!$E:$E,Lists!$B$3,Debit!$C:$C,Lists!$E$3,Debit!$A:$A,"&gt;="&amp;Lists!$D$2,Debit!$A:$A,"&lt;"&amp;EDATE(Lists!$D$2,1))</f>
        <v>0</v>
      </c>
      <c r="F12" s="92">
        <f t="shared" si="1"/>
        <v>500</v>
      </c>
    </row>
    <row r="13">
      <c r="A13" s="9" t="s">
        <v>26</v>
      </c>
      <c r="B13" s="9" t="str">
        <f>Lists!$A$3</f>
        <v>Chips Unit</v>
      </c>
      <c r="C13" s="9" t="str">
        <f>Lists!$B$4</f>
        <v>Shareholder - Vellingiri</v>
      </c>
      <c r="D13" s="92">
        <f>SUMIFS(Debit!$G:$G,Debit!$B:$B,Lists!$A$3,Debit!$E:$E,Lists!$B$4,Debit!$C:$C,Lists!$E$2,Debit!$A:$A,"&gt;="&amp;Lists!$D$2,Debit!$A:$A,"&lt;"&amp;EDATE(Lists!$D$2,1))</f>
        <v>0</v>
      </c>
      <c r="E13" s="92">
        <f>SUMIFS(Debit!$G:$G,Debit!$B:$B,Lists!$A$3,Debit!$E:$E,Lists!$B$4,Debit!$C:$C,Lists!$E$3,Debit!$A:$A,"&gt;="&amp;Lists!$D$2,Debit!$A:$A,"&lt;"&amp;EDATE(Lists!$D$2,1))</f>
        <v>0</v>
      </c>
      <c r="F13" s="92">
        <f t="shared" si="1"/>
        <v>0</v>
      </c>
    </row>
    <row r="14">
      <c r="A14" s="9" t="s">
        <v>26</v>
      </c>
      <c r="B14" s="9" t="str">
        <f>Lists!$A$3</f>
        <v>Chips Unit</v>
      </c>
      <c r="C14" s="9" t="str">
        <f>Lists!$B$5</f>
        <v>Vikas</v>
      </c>
      <c r="D14" s="92">
        <f>SUMIFS(Debit!$G:$G,Debit!$B:$B,Lists!$A$3,Debit!$E:$E,Lists!$B$5,Debit!$C:$C,Lists!$E$2,Debit!$A:$A,"&gt;="&amp;Lists!$D$2,Debit!$A:$A,"&lt;"&amp;EDATE(Lists!$D$2,1))</f>
        <v>0</v>
      </c>
      <c r="E14" s="92">
        <f>SUMIFS(Debit!$G:$G,Debit!$B:$B,Lists!$A$3,Debit!$E:$E,Lists!$B$5,Debit!$C:$C,Lists!$E$3,Debit!$A:$A,"&gt;="&amp;Lists!$D$2,Debit!$A:$A,"&lt;"&amp;EDATE(Lists!$D$2,1))</f>
        <v>0</v>
      </c>
      <c r="F14" s="92">
        <f t="shared" si="1"/>
        <v>0</v>
      </c>
    </row>
    <row r="15">
      <c r="A15" s="9" t="s">
        <v>26</v>
      </c>
      <c r="B15" s="9" t="str">
        <f>Lists!$A$3</f>
        <v>Chips Unit</v>
      </c>
      <c r="C15" s="9" t="str">
        <f>Lists!$B$6</f>
        <v>Payable to Alam</v>
      </c>
      <c r="D15" s="92">
        <f>SUMIFS(Debit!$G:$G,Debit!$B:$B,Lists!$A$3,Debit!$E:$E,Lists!$B$6,Debit!$C:$C,Lists!$E$2,Debit!$A:$A,"&gt;="&amp;Lists!$D$2,Debit!$A:$A,"&lt;"&amp;EDATE(Lists!$D$2,1))</f>
        <v>178569</v>
      </c>
      <c r="E15" s="92">
        <f>SUMIFS(Debit!$G:$G,Debit!$B:$B,Lists!$A$3,Debit!$E:$E,Lists!$B$6,Debit!$C:$C,Lists!$E$3,Debit!$A:$A,"&gt;="&amp;Lists!$D$2,Debit!$A:$A,"&lt;"&amp;EDATE(Lists!$D$2,1))</f>
        <v>0</v>
      </c>
      <c r="F15" s="92">
        <f t="shared" si="1"/>
        <v>178569</v>
      </c>
    </row>
    <row r="16">
      <c r="A16" s="9" t="s">
        <v>26</v>
      </c>
      <c r="B16" s="9" t="str">
        <f>Lists!$A$3</f>
        <v>Chips Unit</v>
      </c>
      <c r="C16" s="9" t="str">
        <f>Lists!$B$7</f>
        <v>Union Bank - CC</v>
      </c>
      <c r="D16" s="92">
        <f>SUMIFS(Debit!$G:$G,Debit!$B:$B,Lists!$A$3,Debit!$E:$E,Lists!$B$7,Debit!$C:$C,Lists!$E$2,Debit!$A:$A,"&gt;="&amp;Lists!$D$2,Debit!$A:$A,"&lt;"&amp;EDATE(Lists!$D$2,1))</f>
        <v>0</v>
      </c>
      <c r="E16" s="92">
        <f>SUMIFS(Debit!$G:$G,Debit!$B:$B,Lists!$A$3,Debit!$E:$E,Lists!$B$7,Debit!$C:$C,Lists!$E$3,Debit!$A:$A,"&gt;="&amp;Lists!$D$2,Debit!$A:$A,"&lt;"&amp;EDATE(Lists!$D$2,1))</f>
        <v>0</v>
      </c>
      <c r="F16" s="92">
        <f t="shared" si="1"/>
        <v>0</v>
      </c>
    </row>
    <row r="17">
      <c r="A17" s="9" t="s">
        <v>26</v>
      </c>
      <c r="B17" s="9" t="str">
        <f>Lists!$A$3</f>
        <v>Chips Unit</v>
      </c>
      <c r="C17" s="9" t="str">
        <f>Lists!$B$8</f>
        <v>Union Bank - Current</v>
      </c>
      <c r="D17" s="92">
        <f>SUMIFS(Debit!$G:$G,Debit!$B:$B,Lists!$A$3,Debit!$E:$E,Lists!$B$8,Debit!$C:$C,Lists!$E$2,Debit!$A:$A,"&gt;="&amp;Lists!$D$2,Debit!$A:$A,"&lt;"&amp;EDATE(Lists!$D$2,1))</f>
        <v>0</v>
      </c>
      <c r="E17" s="92">
        <f>SUMIFS(Debit!$G:$G,Debit!$B:$B,Lists!$A$3,Debit!$E:$E,Lists!$B$8,Debit!$C:$C,Lists!$E$3,Debit!$A:$A,"&gt;="&amp;Lists!$D$2,Debit!$A:$A,"&lt;"&amp;EDATE(Lists!$D$2,1))</f>
        <v>0</v>
      </c>
      <c r="F17" s="92">
        <f t="shared" si="1"/>
        <v>0</v>
      </c>
    </row>
    <row r="18">
      <c r="A18" s="9" t="s">
        <v>26</v>
      </c>
      <c r="B18" s="9" t="str">
        <f>Lists!$A$4</f>
        <v>Washing Unit</v>
      </c>
      <c r="C18" s="9" t="str">
        <f>Lists!$B$2</f>
        <v>Shareholder - Jagadeesan</v>
      </c>
      <c r="D18" s="92">
        <f>SUMIFS(Debit!$G:$G,Debit!$B:$B,Lists!$A$4,Debit!$E:$E,Lists!$B$2,Debit!$C:$C,Lists!$E$2,Debit!$A:$A,"&gt;="&amp;Lists!$D$2,Debit!$A:$A,"&lt;"&amp;EDATE(Lists!$D$2,1))</f>
        <v>4330</v>
      </c>
      <c r="E18" s="92">
        <f>SUMIFS(Debit!$G:$G,Debit!$B:$B,Lists!$A$4,Debit!$E:$E,Lists!$B$2,Debit!$C:$C,Lists!$E$3,Debit!$A:$A,"&gt;="&amp;Lists!$D$2,Debit!$A:$A,"&lt;"&amp;EDATE(Lists!$D$2,1))</f>
        <v>0</v>
      </c>
      <c r="F18" s="92">
        <f t="shared" si="1"/>
        <v>4330</v>
      </c>
    </row>
    <row r="19">
      <c r="A19" s="9" t="s">
        <v>26</v>
      </c>
      <c r="B19" s="9" t="str">
        <f>Lists!$A$4</f>
        <v>Washing Unit</v>
      </c>
      <c r="C19" s="9" t="str">
        <f>Lists!$B$3</f>
        <v>Shareholder - Jagadeshwaran</v>
      </c>
      <c r="D19" s="92">
        <f>SUMIFS(Debit!$G:$G,Debit!$B:$B,Lists!$A$4,Debit!$E:$E,Lists!$B$3,Debit!$C:$C,Lists!$E$2,Debit!$A:$A,"&gt;="&amp;Lists!$D$2,Debit!$A:$A,"&lt;"&amp;EDATE(Lists!$D$2,1))</f>
        <v>500</v>
      </c>
      <c r="E19" s="92">
        <f>SUMIFS(Debit!$G:$G,Debit!$B:$B,Lists!$A$4,Debit!$E:$E,Lists!$B$3,Debit!$C:$C,Lists!$E$3,Debit!$A:$A,"&gt;="&amp;Lists!$D$2,Debit!$A:$A,"&lt;"&amp;EDATE(Lists!$D$2,1))</f>
        <v>0</v>
      </c>
      <c r="F19" s="92">
        <f t="shared" si="1"/>
        <v>500</v>
      </c>
    </row>
    <row r="20">
      <c r="A20" s="9" t="s">
        <v>26</v>
      </c>
      <c r="B20" s="9" t="str">
        <f>Lists!$A$4</f>
        <v>Washing Unit</v>
      </c>
      <c r="C20" s="9" t="str">
        <f>Lists!$B$4</f>
        <v>Shareholder - Vellingiri</v>
      </c>
      <c r="D20" s="92">
        <f>SUMIFS(Debit!$G:$G,Debit!$B:$B,Lists!$A$4,Debit!$E:$E,Lists!$B$4,Debit!$C:$C,Lists!$E$2,Debit!$A:$A,"&gt;="&amp;Lists!$D$2,Debit!$A:$A,"&lt;"&amp;EDATE(Lists!$D$2,1))</f>
        <v>0</v>
      </c>
      <c r="E20" s="92">
        <f>SUMIFS(Debit!$G:$G,Debit!$B:$B,Lists!$A$4,Debit!$E:$E,Lists!$B$4,Debit!$C:$C,Lists!$E$3,Debit!$A:$A,"&gt;="&amp;Lists!$D$2,Debit!$A:$A,"&lt;"&amp;EDATE(Lists!$D$2,1))</f>
        <v>0</v>
      </c>
      <c r="F20" s="92">
        <f t="shared" si="1"/>
        <v>0</v>
      </c>
    </row>
    <row r="21" ht="15.75" customHeight="1">
      <c r="A21" s="9" t="s">
        <v>26</v>
      </c>
      <c r="B21" s="9" t="str">
        <f>Lists!$A$4</f>
        <v>Washing Unit</v>
      </c>
      <c r="C21" s="9" t="str">
        <f>Lists!$B$5</f>
        <v>Vikas</v>
      </c>
      <c r="D21" s="92">
        <f>SUMIFS(Debit!$G:$G,Debit!$B:$B,Lists!$A$4,Debit!$E:$E,Lists!$B$5,Debit!$C:$C,Lists!$E$2,Debit!$A:$A,"&gt;="&amp;Lists!$D$2,Debit!$A:$A,"&lt;"&amp;EDATE(Lists!$D$2,1))</f>
        <v>0</v>
      </c>
      <c r="E21" s="92">
        <f>SUMIFS(Debit!$G:$G,Debit!$B:$B,Lists!$A$4,Debit!$E:$E,Lists!$B$5,Debit!$C:$C,Lists!$E$3,Debit!$A:$A,"&gt;="&amp;Lists!$D$2,Debit!$A:$A,"&lt;"&amp;EDATE(Lists!$D$2,1))</f>
        <v>0</v>
      </c>
      <c r="F21" s="92">
        <f t="shared" si="1"/>
        <v>0</v>
      </c>
    </row>
    <row r="22" ht="15.75" customHeight="1">
      <c r="A22" s="9" t="s">
        <v>26</v>
      </c>
      <c r="B22" s="9" t="str">
        <f>Lists!$A$4</f>
        <v>Washing Unit</v>
      </c>
      <c r="C22" s="9" t="str">
        <f>Lists!$B$6</f>
        <v>Payable to Alam</v>
      </c>
      <c r="D22" s="92">
        <f>SUMIFS(Debit!$G:$G,Debit!$B:$B,Lists!$A$4,Debit!$E:$E,Lists!$B$6,Debit!$C:$C,Lists!$E$2,Debit!$A:$A,"&gt;="&amp;Lists!$D$2,Debit!$A:$A,"&lt;"&amp;EDATE(Lists!$D$2,1))</f>
        <v>3427</v>
      </c>
      <c r="E22" s="92">
        <f>SUMIFS(Debit!$G:$G,Debit!$B:$B,Lists!$A$4,Debit!$E:$E,Lists!$B$6,Debit!$C:$C,Lists!$E$3,Debit!$A:$A,"&gt;="&amp;Lists!$D$2,Debit!$A:$A,"&lt;"&amp;EDATE(Lists!$D$2,1))</f>
        <v>0</v>
      </c>
      <c r="F22" s="92">
        <f t="shared" si="1"/>
        <v>3427</v>
      </c>
    </row>
    <row r="23" ht="15.75" customHeight="1">
      <c r="A23" s="9" t="s">
        <v>26</v>
      </c>
      <c r="B23" s="9" t="str">
        <f>Lists!$A$4</f>
        <v>Washing Unit</v>
      </c>
      <c r="C23" s="9" t="str">
        <f>Lists!$B$7</f>
        <v>Union Bank - CC</v>
      </c>
      <c r="D23" s="92">
        <f>SUMIFS(Debit!$G:$G,Debit!$B:$B,Lists!$A$4,Debit!$E:$E,Lists!$B$7,Debit!$C:$C,Lists!$E$2,Debit!$A:$A,"&gt;="&amp;Lists!$D$2,Debit!$A:$A,"&lt;"&amp;EDATE(Lists!$D$2,1))</f>
        <v>0</v>
      </c>
      <c r="E23" s="92">
        <f>SUMIFS(Debit!$G:$G,Debit!$B:$B,Lists!$A$4,Debit!$E:$E,Lists!$B$7,Debit!$C:$C,Lists!$E$3,Debit!$A:$A,"&gt;="&amp;Lists!$D$2,Debit!$A:$A,"&lt;"&amp;EDATE(Lists!$D$2,1))</f>
        <v>0</v>
      </c>
      <c r="F23" s="92">
        <f t="shared" si="1"/>
        <v>0</v>
      </c>
    </row>
    <row r="24" ht="15.75" customHeight="1">
      <c r="A24" s="9" t="s">
        <v>26</v>
      </c>
      <c r="B24" s="9" t="str">
        <f>Lists!$A$4</f>
        <v>Washing Unit</v>
      </c>
      <c r="C24" s="9" t="str">
        <f>Lists!$B$8</f>
        <v>Union Bank - Current</v>
      </c>
      <c r="D24" s="92">
        <f>SUMIFS(Debit!$G:$G,Debit!$B:$B,Lists!$A$4,Debit!$E:$E,Lists!$B$8,Debit!$C:$C,Lists!$E$2,Debit!$A:$A,"&gt;="&amp;Lists!$D$2,Debit!$A:$A,"&lt;"&amp;EDATE(Lists!$D$2,1))</f>
        <v>0</v>
      </c>
      <c r="E24" s="92">
        <f>SUMIFS(Debit!$G:$G,Debit!$B:$B,Lists!$A$4,Debit!$E:$E,Lists!$B$8,Debit!$C:$C,Lists!$E$3,Debit!$A:$A,"&gt;="&amp;Lists!$D$2,Debit!$A:$A,"&lt;"&amp;EDATE(Lists!$D$2,1))</f>
        <v>0</v>
      </c>
      <c r="F24" s="92">
        <f t="shared" si="1"/>
        <v>0</v>
      </c>
    </row>
    <row r="25" ht="15.75" customHeight="1">
      <c r="A25" s="9" t="s">
        <v>32</v>
      </c>
      <c r="B25" s="9" t="str">
        <f>Lists!$A$2</f>
        <v>Fibre Unit</v>
      </c>
      <c r="C25" s="9" t="str">
        <f>Lists!$B$2</f>
        <v>Shareholder - Jagadeesan</v>
      </c>
      <c r="D25" s="92">
        <f>SUMIFS(Debit!$G:$G,Debit!$B:$B,Lists!$A$2,Debit!$E:$E,Lists!$B$2,Debit!$C:$C,Lists!$E$2,Debit!$A:$A,"&gt;="&amp;Lists!$D$3,Debit!$A:$A,"&lt;"&amp;EDATE(Lists!$D$3,1))</f>
        <v>0</v>
      </c>
      <c r="E25" s="92">
        <f>SUMIFS(Debit!$G:$G,Debit!$B:$B,Lists!$A$2,Debit!$E:$E,Lists!$B$2,Debit!$C:$C,Lists!$E$3,Debit!$A:$A,"&gt;="&amp;Lists!$D$3,Debit!$A:$A,"&lt;"&amp;EDATE(Lists!$D$3,1))</f>
        <v>0</v>
      </c>
      <c r="F25" s="92">
        <f t="shared" si="1"/>
        <v>0</v>
      </c>
    </row>
    <row r="26" ht="15.75" customHeight="1">
      <c r="A26" s="9" t="s">
        <v>32</v>
      </c>
      <c r="B26" s="9" t="str">
        <f>Lists!$A$2</f>
        <v>Fibre Unit</v>
      </c>
      <c r="C26" s="9" t="str">
        <f>Lists!$B$3</f>
        <v>Shareholder - Jagadeshwaran</v>
      </c>
      <c r="D26" s="92">
        <f>SUMIFS(Debit!$G:$G,Debit!$B:$B,Lists!$A$2,Debit!$E:$E,Lists!$B$3,Debit!$C:$C,Lists!$E$2,Debit!$A:$A,"&gt;="&amp;Lists!$D$3,Debit!$A:$A,"&lt;"&amp;EDATE(Lists!$D$3,1))</f>
        <v>0</v>
      </c>
      <c r="E26" s="92">
        <f>SUMIFS(Debit!$G:$G,Debit!$B:$B,Lists!$A$2,Debit!$E:$E,Lists!$B$3,Debit!$C:$C,Lists!$E$3,Debit!$A:$A,"&gt;="&amp;Lists!$D$3,Debit!$A:$A,"&lt;"&amp;EDATE(Lists!$D$3,1))</f>
        <v>0</v>
      </c>
      <c r="F26" s="92">
        <f t="shared" si="1"/>
        <v>0</v>
      </c>
    </row>
    <row r="27" ht="15.75" customHeight="1">
      <c r="A27" s="9" t="s">
        <v>32</v>
      </c>
      <c r="B27" s="9" t="str">
        <f>Lists!$A$2</f>
        <v>Fibre Unit</v>
      </c>
      <c r="C27" s="9" t="str">
        <f>Lists!$B$4</f>
        <v>Shareholder - Vellingiri</v>
      </c>
      <c r="D27" s="92">
        <f>SUMIFS(Debit!$G:$G,Debit!$B:$B,Lists!$A$2,Debit!$E:$E,Lists!$B$4,Debit!$C:$C,Lists!$E$2,Debit!$A:$A,"&gt;="&amp;Lists!$D$3,Debit!$A:$A,"&lt;"&amp;EDATE(Lists!$D$3,1))</f>
        <v>0</v>
      </c>
      <c r="E27" s="92">
        <f>SUMIFS(Debit!$G:$G,Debit!$B:$B,Lists!$A$2,Debit!$E:$E,Lists!$B$4,Debit!$C:$C,Lists!$E$3,Debit!$A:$A,"&gt;="&amp;Lists!$D$3,Debit!$A:$A,"&lt;"&amp;EDATE(Lists!$D$3,1))</f>
        <v>0</v>
      </c>
      <c r="F27" s="92">
        <f t="shared" si="1"/>
        <v>0</v>
      </c>
    </row>
    <row r="28" ht="15.75" customHeight="1">
      <c r="A28" s="9" t="s">
        <v>32</v>
      </c>
      <c r="B28" s="9" t="str">
        <f>Lists!$A$2</f>
        <v>Fibre Unit</v>
      </c>
      <c r="C28" s="9" t="str">
        <f>Lists!$B$5</f>
        <v>Vikas</v>
      </c>
      <c r="D28" s="92">
        <f>SUMIFS(Debit!$G:$G,Debit!$B:$B,Lists!$A$2,Debit!$E:$E,Lists!$B$5,Debit!$C:$C,Lists!$E$2,Debit!$A:$A,"&gt;="&amp;Lists!$D$3,Debit!$A:$A,"&lt;"&amp;EDATE(Lists!$D$3,1))</f>
        <v>0</v>
      </c>
      <c r="E28" s="92">
        <f>SUMIFS(Debit!$G:$G,Debit!$B:$B,Lists!$A$2,Debit!$E:$E,Lists!$B$5,Debit!$C:$C,Lists!$E$3,Debit!$A:$A,"&gt;="&amp;Lists!$D$3,Debit!$A:$A,"&lt;"&amp;EDATE(Lists!$D$3,1))</f>
        <v>0</v>
      </c>
      <c r="F28" s="92">
        <f t="shared" si="1"/>
        <v>0</v>
      </c>
    </row>
    <row r="29" ht="15.75" customHeight="1">
      <c r="A29" s="9" t="s">
        <v>32</v>
      </c>
      <c r="B29" s="9" t="str">
        <f>Lists!$A$2</f>
        <v>Fibre Unit</v>
      </c>
      <c r="C29" s="9" t="str">
        <f>Lists!$B$6</f>
        <v>Payable to Alam</v>
      </c>
      <c r="D29" s="92">
        <f>SUMIFS(Debit!$G:$G,Debit!$B:$B,Lists!$A$2,Debit!$E:$E,Lists!$B$6,Debit!$C:$C,Lists!$E$2,Debit!$A:$A,"&gt;="&amp;Lists!$D$3,Debit!$A:$A,"&lt;"&amp;EDATE(Lists!$D$3,1))</f>
        <v>0</v>
      </c>
      <c r="E29" s="92">
        <f>SUMIFS(Debit!$G:$G,Debit!$B:$B,Lists!$A$2,Debit!$E:$E,Lists!$B$6,Debit!$C:$C,Lists!$E$3,Debit!$A:$A,"&gt;="&amp;Lists!$D$3,Debit!$A:$A,"&lt;"&amp;EDATE(Lists!$D$3,1))</f>
        <v>0</v>
      </c>
      <c r="F29" s="92">
        <f t="shared" si="1"/>
        <v>0</v>
      </c>
    </row>
    <row r="30" ht="15.75" customHeight="1">
      <c r="A30" s="9" t="s">
        <v>32</v>
      </c>
      <c r="B30" s="9" t="str">
        <f>Lists!$A$2</f>
        <v>Fibre Unit</v>
      </c>
      <c r="C30" s="9" t="str">
        <f>Lists!$B$7</f>
        <v>Union Bank - CC</v>
      </c>
      <c r="D30" s="92">
        <f>SUMIFS(Debit!$G:$G,Debit!$B:$B,Lists!$A$2,Debit!$E:$E,Lists!$B$7,Debit!$C:$C,Lists!$E$2,Debit!$A:$A,"&gt;="&amp;Lists!$D$3,Debit!$A:$A,"&lt;"&amp;EDATE(Lists!$D$3,1))</f>
        <v>0</v>
      </c>
      <c r="E30" s="92">
        <f>SUMIFS(Debit!$G:$G,Debit!$B:$B,Lists!$A$2,Debit!$E:$E,Lists!$B$7,Debit!$C:$C,Lists!$E$3,Debit!$A:$A,"&gt;="&amp;Lists!$D$3,Debit!$A:$A,"&lt;"&amp;EDATE(Lists!$D$3,1))</f>
        <v>0</v>
      </c>
      <c r="F30" s="92">
        <f t="shared" si="1"/>
        <v>0</v>
      </c>
    </row>
    <row r="31" ht="15.75" customHeight="1">
      <c r="A31" s="9" t="s">
        <v>32</v>
      </c>
      <c r="B31" s="9" t="str">
        <f>Lists!$A$2</f>
        <v>Fibre Unit</v>
      </c>
      <c r="C31" s="9" t="str">
        <f>Lists!$B$8</f>
        <v>Union Bank - Current</v>
      </c>
      <c r="D31" s="92">
        <f>SUMIFS(Debit!$G:$G,Debit!$B:$B,Lists!$A$2,Debit!$E:$E,Lists!$B$8,Debit!$C:$C,Lists!$E$2,Debit!$A:$A,"&gt;="&amp;Lists!$D$3,Debit!$A:$A,"&lt;"&amp;EDATE(Lists!$D$3,1))</f>
        <v>0</v>
      </c>
      <c r="E31" s="92">
        <f>SUMIFS(Debit!$G:$G,Debit!$B:$B,Lists!$A$2,Debit!$E:$E,Lists!$B$8,Debit!$C:$C,Lists!$E$3,Debit!$A:$A,"&gt;="&amp;Lists!$D$3,Debit!$A:$A,"&lt;"&amp;EDATE(Lists!$D$3,1))</f>
        <v>0</v>
      </c>
      <c r="F31" s="92">
        <f t="shared" si="1"/>
        <v>0</v>
      </c>
    </row>
    <row r="32" ht="15.75" customHeight="1">
      <c r="A32" s="9" t="s">
        <v>32</v>
      </c>
      <c r="B32" s="9" t="str">
        <f>Lists!$A$3</f>
        <v>Chips Unit</v>
      </c>
      <c r="C32" s="9" t="str">
        <f>Lists!$B$2</f>
        <v>Shareholder - Jagadeesan</v>
      </c>
      <c r="D32" s="92">
        <f>SUMIFS(Debit!$G:$G,Debit!$B:$B,Lists!$A$3,Debit!$E:$E,Lists!$B$2,Debit!$C:$C,Lists!$E$2,Debit!$A:$A,"&gt;="&amp;Lists!$D$3,Debit!$A:$A,"&lt;"&amp;EDATE(Lists!$D$3,1))</f>
        <v>48604</v>
      </c>
      <c r="E32" s="92">
        <f>SUMIFS(Debit!$G:$G,Debit!$B:$B,Lists!$A$3,Debit!$E:$E,Lists!$B$2,Debit!$C:$C,Lists!$E$3,Debit!$A:$A,"&gt;="&amp;Lists!$D$3,Debit!$A:$A,"&lt;"&amp;EDATE(Lists!$D$3,1))</f>
        <v>0</v>
      </c>
      <c r="F32" s="92">
        <f t="shared" si="1"/>
        <v>48604</v>
      </c>
    </row>
    <row r="33" ht="15.75" customHeight="1">
      <c r="A33" s="9" t="s">
        <v>32</v>
      </c>
      <c r="B33" s="9" t="str">
        <f>Lists!$A$3</f>
        <v>Chips Unit</v>
      </c>
      <c r="C33" s="9" t="str">
        <f>Lists!$B$3</f>
        <v>Shareholder - Jagadeshwaran</v>
      </c>
      <c r="D33" s="92">
        <f>SUMIFS(Debit!$G:$G,Debit!$B:$B,Lists!$A$3,Debit!$E:$E,Lists!$B$3,Debit!$C:$C,Lists!$E$2,Debit!$A:$A,"&gt;="&amp;Lists!$D$3,Debit!$A:$A,"&lt;"&amp;EDATE(Lists!$D$3,1))</f>
        <v>265431</v>
      </c>
      <c r="E33" s="92">
        <f>SUMIFS(Debit!$G:$G,Debit!$B:$B,Lists!$A$3,Debit!$E:$E,Lists!$B$3,Debit!$C:$C,Lists!$E$3,Debit!$A:$A,"&gt;="&amp;Lists!$D$3,Debit!$A:$A,"&lt;"&amp;EDATE(Lists!$D$3,1))</f>
        <v>0</v>
      </c>
      <c r="F33" s="92">
        <f t="shared" si="1"/>
        <v>265431</v>
      </c>
    </row>
    <row r="34" ht="15.75" customHeight="1">
      <c r="A34" s="9" t="s">
        <v>32</v>
      </c>
      <c r="B34" s="9" t="str">
        <f>Lists!$A$3</f>
        <v>Chips Unit</v>
      </c>
      <c r="C34" s="9" t="str">
        <f>Lists!$B$4</f>
        <v>Shareholder - Vellingiri</v>
      </c>
      <c r="D34" s="92">
        <f>SUMIFS(Debit!$G:$G,Debit!$B:$B,Lists!$A$3,Debit!$E:$E,Lists!$B$4,Debit!$C:$C,Lists!$E$2,Debit!$A:$A,"&gt;="&amp;Lists!$D$3,Debit!$A:$A,"&lt;"&amp;EDATE(Lists!$D$3,1))</f>
        <v>0</v>
      </c>
      <c r="E34" s="92">
        <f>SUMIFS(Debit!$G:$G,Debit!$B:$B,Lists!$A$3,Debit!$E:$E,Lists!$B$4,Debit!$C:$C,Lists!$E$3,Debit!$A:$A,"&gt;="&amp;Lists!$D$3,Debit!$A:$A,"&lt;"&amp;EDATE(Lists!$D$3,1))</f>
        <v>0</v>
      </c>
      <c r="F34" s="92">
        <f t="shared" si="1"/>
        <v>0</v>
      </c>
    </row>
    <row r="35" ht="15.75" customHeight="1">
      <c r="A35" s="9" t="s">
        <v>32</v>
      </c>
      <c r="B35" s="9" t="str">
        <f>Lists!$A$3</f>
        <v>Chips Unit</v>
      </c>
      <c r="C35" s="9" t="str">
        <f>Lists!$B$5</f>
        <v>Vikas</v>
      </c>
      <c r="D35" s="92">
        <f>SUMIFS(Debit!$G:$G,Debit!$B:$B,Lists!$A$3,Debit!$E:$E,Lists!$B$5,Debit!$C:$C,Lists!$E$2,Debit!$A:$A,"&gt;="&amp;Lists!$D$3,Debit!$A:$A,"&lt;"&amp;EDATE(Lists!$D$3,1))</f>
        <v>0</v>
      </c>
      <c r="E35" s="92">
        <f>SUMIFS(Debit!$G:$G,Debit!$B:$B,Lists!$A$3,Debit!$E:$E,Lists!$B$5,Debit!$C:$C,Lists!$E$3,Debit!$A:$A,"&gt;="&amp;Lists!$D$3,Debit!$A:$A,"&lt;"&amp;EDATE(Lists!$D$3,1))</f>
        <v>0</v>
      </c>
      <c r="F35" s="92">
        <f t="shared" si="1"/>
        <v>0</v>
      </c>
    </row>
    <row r="36" ht="15.75" customHeight="1">
      <c r="A36" s="9" t="s">
        <v>32</v>
      </c>
      <c r="B36" s="9" t="str">
        <f>Lists!$A$3</f>
        <v>Chips Unit</v>
      </c>
      <c r="C36" s="9" t="str">
        <f>Lists!$B$6</f>
        <v>Payable to Alam</v>
      </c>
      <c r="D36" s="92">
        <f>SUMIFS(Debit!$G:$G,Debit!$B:$B,Lists!$A$3,Debit!$E:$E,Lists!$B$6,Debit!$C:$C,Lists!$E$2,Debit!$A:$A,"&gt;="&amp;Lists!$D$3,Debit!$A:$A,"&lt;"&amp;EDATE(Lists!$D$3,1))</f>
        <v>218070.41</v>
      </c>
      <c r="E36" s="92">
        <f>SUMIFS(Debit!$G:$G,Debit!$B:$B,Lists!$A$3,Debit!$E:$E,Lists!$B$6,Debit!$C:$C,Lists!$E$3,Debit!$A:$A,"&gt;="&amp;Lists!$D$3,Debit!$A:$A,"&lt;"&amp;EDATE(Lists!$D$3,1))</f>
        <v>0</v>
      </c>
      <c r="F36" s="92">
        <f t="shared" si="1"/>
        <v>218070.41</v>
      </c>
    </row>
    <row r="37" ht="15.75" customHeight="1">
      <c r="A37" s="9" t="s">
        <v>32</v>
      </c>
      <c r="B37" s="9" t="str">
        <f>Lists!$A$3</f>
        <v>Chips Unit</v>
      </c>
      <c r="C37" s="9" t="str">
        <f>Lists!$B$7</f>
        <v>Union Bank - CC</v>
      </c>
      <c r="D37" s="92">
        <f>SUMIFS(Debit!$G:$G,Debit!$B:$B,Lists!$A$3,Debit!$E:$E,Lists!$B$7,Debit!$C:$C,Lists!$E$2,Debit!$A:$A,"&gt;="&amp;Lists!$D$3,Debit!$A:$A,"&lt;"&amp;EDATE(Lists!$D$3,1))</f>
        <v>20194.16</v>
      </c>
      <c r="E37" s="92">
        <f>SUMIFS(Debit!$G:$G,Debit!$B:$B,Lists!$A$3,Debit!$E:$E,Lists!$B$7,Debit!$C:$C,Lists!$E$3,Debit!$A:$A,"&gt;="&amp;Lists!$D$3,Debit!$A:$A,"&lt;"&amp;EDATE(Lists!$D$3,1))</f>
        <v>0</v>
      </c>
      <c r="F37" s="92">
        <f t="shared" si="1"/>
        <v>20194.16</v>
      </c>
    </row>
    <row r="38" ht="15.75" customHeight="1">
      <c r="A38" s="9" t="s">
        <v>32</v>
      </c>
      <c r="B38" s="9" t="str">
        <f>Lists!$A$3</f>
        <v>Chips Unit</v>
      </c>
      <c r="C38" s="9" t="str">
        <f>Lists!$B$8</f>
        <v>Union Bank - Current</v>
      </c>
      <c r="D38" s="92">
        <f>SUMIFS(Debit!$G:$G,Debit!$B:$B,Lists!$A$3,Debit!$E:$E,Lists!$B$8,Debit!$C:$C,Lists!$E$2,Debit!$A:$A,"&gt;="&amp;Lists!$D$3,Debit!$A:$A,"&lt;"&amp;EDATE(Lists!$D$3,1))</f>
        <v>0</v>
      </c>
      <c r="E38" s="92">
        <f>SUMIFS(Debit!$G:$G,Debit!$B:$B,Lists!$A$3,Debit!$E:$E,Lists!$B$8,Debit!$C:$C,Lists!$E$3,Debit!$A:$A,"&gt;="&amp;Lists!$D$3,Debit!$A:$A,"&lt;"&amp;EDATE(Lists!$D$3,1))</f>
        <v>0</v>
      </c>
      <c r="F38" s="92">
        <f t="shared" si="1"/>
        <v>0</v>
      </c>
    </row>
    <row r="39" ht="15.75" customHeight="1">
      <c r="A39" s="9" t="s">
        <v>32</v>
      </c>
      <c r="B39" s="9" t="str">
        <f>Lists!$A$4</f>
        <v>Washing Unit</v>
      </c>
      <c r="C39" s="9" t="str">
        <f>Lists!$B$2</f>
        <v>Shareholder - Jagadeesan</v>
      </c>
      <c r="D39" s="92">
        <f>SUMIFS(Debit!$G:$G,Debit!$B:$B,Lists!$A$4,Debit!$E:$E,Lists!$B$2,Debit!$C:$C,Lists!$E$2,Debit!$A:$A,"&gt;="&amp;Lists!$D$3,Debit!$A:$A,"&lt;"&amp;EDATE(Lists!$D$3,1))</f>
        <v>12094</v>
      </c>
      <c r="E39" s="92">
        <f>SUMIFS(Debit!$G:$G,Debit!$B:$B,Lists!$A$4,Debit!$E:$E,Lists!$B$2,Debit!$C:$C,Lists!$E$3,Debit!$A:$A,"&gt;="&amp;Lists!$D$3,Debit!$A:$A,"&lt;"&amp;EDATE(Lists!$D$3,1))</f>
        <v>0</v>
      </c>
      <c r="F39" s="92">
        <f t="shared" si="1"/>
        <v>12094</v>
      </c>
    </row>
    <row r="40" ht="15.75" customHeight="1">
      <c r="A40" s="9" t="s">
        <v>32</v>
      </c>
      <c r="B40" s="9" t="str">
        <f>Lists!$A$4</f>
        <v>Washing Unit</v>
      </c>
      <c r="C40" s="9" t="str">
        <f>Lists!$B$3</f>
        <v>Shareholder - Jagadeshwaran</v>
      </c>
      <c r="D40" s="92">
        <f>SUMIFS(Debit!$G:$G,Debit!$B:$B,Lists!$A$4,Debit!$E:$E,Lists!$B$3,Debit!$C:$C,Lists!$E$2,Debit!$A:$A,"&gt;="&amp;Lists!$D$3,Debit!$A:$A,"&lt;"&amp;EDATE(Lists!$D$3,1))</f>
        <v>0</v>
      </c>
      <c r="E40" s="92">
        <f>SUMIFS(Debit!$G:$G,Debit!$B:$B,Lists!$A$4,Debit!$E:$E,Lists!$B$3,Debit!$C:$C,Lists!$E$3,Debit!$A:$A,"&gt;="&amp;Lists!$D$3,Debit!$A:$A,"&lt;"&amp;EDATE(Lists!$D$3,1))</f>
        <v>0</v>
      </c>
      <c r="F40" s="92">
        <f t="shared" si="1"/>
        <v>0</v>
      </c>
    </row>
    <row r="41" ht="15.75" customHeight="1">
      <c r="A41" s="9" t="s">
        <v>32</v>
      </c>
      <c r="B41" s="9" t="str">
        <f>Lists!$A$4</f>
        <v>Washing Unit</v>
      </c>
      <c r="C41" s="9" t="str">
        <f>Lists!$B$4</f>
        <v>Shareholder - Vellingiri</v>
      </c>
      <c r="D41" s="92">
        <f>SUMIFS(Debit!$G:$G,Debit!$B:$B,Lists!$A$4,Debit!$E:$E,Lists!$B$4,Debit!$C:$C,Lists!$E$2,Debit!$A:$A,"&gt;="&amp;Lists!$D$3,Debit!$A:$A,"&lt;"&amp;EDATE(Lists!$D$3,1))</f>
        <v>0</v>
      </c>
      <c r="E41" s="92">
        <f>SUMIFS(Debit!$G:$G,Debit!$B:$B,Lists!$A$4,Debit!$E:$E,Lists!$B$4,Debit!$C:$C,Lists!$E$3,Debit!$A:$A,"&gt;="&amp;Lists!$D$3,Debit!$A:$A,"&lt;"&amp;EDATE(Lists!$D$3,1))</f>
        <v>0</v>
      </c>
      <c r="F41" s="92">
        <f t="shared" si="1"/>
        <v>0</v>
      </c>
    </row>
    <row r="42" ht="15.75" customHeight="1">
      <c r="A42" s="9" t="s">
        <v>32</v>
      </c>
      <c r="B42" s="9" t="str">
        <f>Lists!$A$4</f>
        <v>Washing Unit</v>
      </c>
      <c r="C42" s="9" t="str">
        <f>Lists!$B$5</f>
        <v>Vikas</v>
      </c>
      <c r="D42" s="92">
        <f>SUMIFS(Debit!$G:$G,Debit!$B:$B,Lists!$A$4,Debit!$E:$E,Lists!$B$5,Debit!$C:$C,Lists!$E$2,Debit!$A:$A,"&gt;="&amp;Lists!$D$3,Debit!$A:$A,"&lt;"&amp;EDATE(Lists!$D$3,1))</f>
        <v>0</v>
      </c>
      <c r="E42" s="92">
        <f>SUMIFS(Debit!$G:$G,Debit!$B:$B,Lists!$A$4,Debit!$E:$E,Lists!$B$5,Debit!$C:$C,Lists!$E$3,Debit!$A:$A,"&gt;="&amp;Lists!$D$3,Debit!$A:$A,"&lt;"&amp;EDATE(Lists!$D$3,1))</f>
        <v>0</v>
      </c>
      <c r="F42" s="92">
        <f t="shared" si="1"/>
        <v>0</v>
      </c>
    </row>
    <row r="43" ht="15.75" customHeight="1">
      <c r="A43" s="9" t="s">
        <v>32</v>
      </c>
      <c r="B43" s="9" t="str">
        <f>Lists!$A$4</f>
        <v>Washing Unit</v>
      </c>
      <c r="C43" s="9" t="str">
        <f>Lists!$B$6</f>
        <v>Payable to Alam</v>
      </c>
      <c r="D43" s="92">
        <f>SUMIFS(Debit!$G:$G,Debit!$B:$B,Lists!$A$4,Debit!$E:$E,Lists!$B$6,Debit!$C:$C,Lists!$E$2,Debit!$A:$A,"&gt;="&amp;Lists!$D$3,Debit!$A:$A,"&lt;"&amp;EDATE(Lists!$D$3,1))</f>
        <v>66083</v>
      </c>
      <c r="E43" s="92">
        <f>SUMIFS(Debit!$G:$G,Debit!$B:$B,Lists!$A$4,Debit!$E:$E,Lists!$B$6,Debit!$C:$C,Lists!$E$3,Debit!$A:$A,"&gt;="&amp;Lists!$D$3,Debit!$A:$A,"&lt;"&amp;EDATE(Lists!$D$3,1))</f>
        <v>0</v>
      </c>
      <c r="F43" s="92">
        <f t="shared" si="1"/>
        <v>66083</v>
      </c>
    </row>
    <row r="44" ht="15.75" customHeight="1">
      <c r="A44" s="9" t="s">
        <v>32</v>
      </c>
      <c r="B44" s="9" t="str">
        <f>Lists!$A$4</f>
        <v>Washing Unit</v>
      </c>
      <c r="C44" s="9" t="str">
        <f>Lists!$B$7</f>
        <v>Union Bank - CC</v>
      </c>
      <c r="D44" s="92">
        <f>SUMIFS(Debit!$G:$G,Debit!$B:$B,Lists!$A$4,Debit!$E:$E,Lists!$B$7,Debit!$C:$C,Lists!$E$2,Debit!$A:$A,"&gt;="&amp;Lists!$D$3,Debit!$A:$A,"&lt;"&amp;EDATE(Lists!$D$3,1))</f>
        <v>0</v>
      </c>
      <c r="E44" s="92">
        <f>SUMIFS(Debit!$G:$G,Debit!$B:$B,Lists!$A$4,Debit!$E:$E,Lists!$B$7,Debit!$C:$C,Lists!$E$3,Debit!$A:$A,"&gt;="&amp;Lists!$D$3,Debit!$A:$A,"&lt;"&amp;EDATE(Lists!$D$3,1))</f>
        <v>0</v>
      </c>
      <c r="F44" s="92">
        <f t="shared" si="1"/>
        <v>0</v>
      </c>
    </row>
    <row r="45" ht="15.75" customHeight="1">
      <c r="A45" s="9" t="s">
        <v>32</v>
      </c>
      <c r="B45" s="9" t="str">
        <f>Lists!$A$4</f>
        <v>Washing Unit</v>
      </c>
      <c r="C45" s="9" t="str">
        <f>Lists!$B$8</f>
        <v>Union Bank - Current</v>
      </c>
      <c r="D45" s="92">
        <f>SUMIFS(Debit!$G:$G,Debit!$B:$B,Lists!$A$4,Debit!$E:$E,Lists!$B$8,Debit!$C:$C,Lists!$E$2,Debit!$A:$A,"&gt;="&amp;Lists!$D$3,Debit!$A:$A,"&lt;"&amp;EDATE(Lists!$D$3,1))</f>
        <v>0</v>
      </c>
      <c r="E45" s="92">
        <f>SUMIFS(Debit!$G:$G,Debit!$B:$B,Lists!$A$4,Debit!$E:$E,Lists!$B$8,Debit!$C:$C,Lists!$E$3,Debit!$A:$A,"&gt;="&amp;Lists!$D$3,Debit!$A:$A,"&lt;"&amp;EDATE(Lists!$D$3,1))</f>
        <v>0</v>
      </c>
      <c r="F45" s="92">
        <f t="shared" si="1"/>
        <v>0</v>
      </c>
    </row>
    <row r="46" ht="15.75" customHeight="1">
      <c r="A46" s="9" t="s">
        <v>35</v>
      </c>
      <c r="B46" s="9" t="str">
        <f>Lists!$A$2</f>
        <v>Fibre Unit</v>
      </c>
      <c r="C46" s="9" t="str">
        <f>Lists!$B$2</f>
        <v>Shareholder - Jagadeesan</v>
      </c>
      <c r="D46" s="92">
        <f>SUMIFS(Debit!$G:$G,Debit!$B:$B,Lists!$A$2,Debit!$E:$E,Lists!$B$2,Debit!$C:$C,Lists!$E$2,Debit!$A:$A,"&gt;="&amp;Lists!$D$4,Debit!$A:$A,"&lt;"&amp;EDATE(Lists!$D$4,1))</f>
        <v>300</v>
      </c>
      <c r="E46" s="92">
        <f>SUMIFS(Debit!$G:$G,Debit!$B:$B,Lists!$A$2,Debit!$E:$E,Lists!$B$2,Debit!$C:$C,Lists!$E$3,Debit!$A:$A,"&gt;="&amp;Lists!$D$4,Debit!$A:$A,"&lt;"&amp;EDATE(Lists!$D$4,1))</f>
        <v>0</v>
      </c>
      <c r="F46" s="92">
        <f t="shared" si="1"/>
        <v>300</v>
      </c>
    </row>
    <row r="47" ht="15.75" customHeight="1">
      <c r="A47" s="9" t="s">
        <v>35</v>
      </c>
      <c r="B47" s="9" t="str">
        <f>Lists!$A$2</f>
        <v>Fibre Unit</v>
      </c>
      <c r="C47" s="9" t="str">
        <f>Lists!$B$3</f>
        <v>Shareholder - Jagadeshwaran</v>
      </c>
      <c r="D47" s="92">
        <f>SUMIFS(Debit!$G:$G,Debit!$B:$B,Lists!$A$2,Debit!$E:$E,Lists!$B$3,Debit!$C:$C,Lists!$E$2,Debit!$A:$A,"&gt;="&amp;Lists!$D$4,Debit!$A:$A,"&lt;"&amp;EDATE(Lists!$D$4,1))</f>
        <v>0</v>
      </c>
      <c r="E47" s="92">
        <f>SUMIFS(Debit!$G:$G,Debit!$B:$B,Lists!$A$2,Debit!$E:$E,Lists!$B$3,Debit!$C:$C,Lists!$E$3,Debit!$A:$A,"&gt;="&amp;Lists!$D$4,Debit!$A:$A,"&lt;"&amp;EDATE(Lists!$D$4,1))</f>
        <v>0</v>
      </c>
      <c r="F47" s="92">
        <f t="shared" si="1"/>
        <v>0</v>
      </c>
    </row>
    <row r="48" ht="15.75" customHeight="1">
      <c r="A48" s="9" t="s">
        <v>35</v>
      </c>
      <c r="B48" s="9" t="str">
        <f>Lists!$A$2</f>
        <v>Fibre Unit</v>
      </c>
      <c r="C48" s="9" t="str">
        <f>Lists!$B$4</f>
        <v>Shareholder - Vellingiri</v>
      </c>
      <c r="D48" s="92">
        <f>SUMIFS(Debit!$G:$G,Debit!$B:$B,Lists!$A$2,Debit!$E:$E,Lists!$B$4,Debit!$C:$C,Lists!$E$2,Debit!$A:$A,"&gt;="&amp;Lists!$D$4,Debit!$A:$A,"&lt;"&amp;EDATE(Lists!$D$4,1))</f>
        <v>0</v>
      </c>
      <c r="E48" s="92">
        <f>SUMIFS(Debit!$G:$G,Debit!$B:$B,Lists!$A$2,Debit!$E:$E,Lists!$B$4,Debit!$C:$C,Lists!$E$3,Debit!$A:$A,"&gt;="&amp;Lists!$D$4,Debit!$A:$A,"&lt;"&amp;EDATE(Lists!$D$4,1))</f>
        <v>0</v>
      </c>
      <c r="F48" s="92">
        <f t="shared" si="1"/>
        <v>0</v>
      </c>
    </row>
    <row r="49" ht="15.75" customHeight="1">
      <c r="A49" s="9" t="s">
        <v>35</v>
      </c>
      <c r="B49" s="9" t="str">
        <f>Lists!$A$2</f>
        <v>Fibre Unit</v>
      </c>
      <c r="C49" s="9" t="str">
        <f>Lists!$B$5</f>
        <v>Vikas</v>
      </c>
      <c r="D49" s="92">
        <f>SUMIFS(Debit!$G:$G,Debit!$B:$B,Lists!$A$2,Debit!$E:$E,Lists!$B$5,Debit!$C:$C,Lists!$E$2,Debit!$A:$A,"&gt;="&amp;Lists!$D$4,Debit!$A:$A,"&lt;"&amp;EDATE(Lists!$D$4,1))</f>
        <v>115410</v>
      </c>
      <c r="E49" s="92">
        <f>SUMIFS(Debit!$G:$G,Debit!$B:$B,Lists!$A$2,Debit!$E:$E,Lists!$B$5,Debit!$C:$C,Lists!$E$3,Debit!$A:$A,"&gt;="&amp;Lists!$D$4,Debit!$A:$A,"&lt;"&amp;EDATE(Lists!$D$4,1))</f>
        <v>0</v>
      </c>
      <c r="F49" s="92">
        <f t="shared" si="1"/>
        <v>115410</v>
      </c>
    </row>
    <row r="50" ht="15.75" customHeight="1">
      <c r="A50" s="9" t="s">
        <v>35</v>
      </c>
      <c r="B50" s="9" t="str">
        <f>Lists!$A$2</f>
        <v>Fibre Unit</v>
      </c>
      <c r="C50" s="9" t="str">
        <f>Lists!$B$6</f>
        <v>Payable to Alam</v>
      </c>
      <c r="D50" s="92">
        <f>SUMIFS(Debit!$G:$G,Debit!$B:$B,Lists!$A$2,Debit!$E:$E,Lists!$B$6,Debit!$C:$C,Lists!$E$2,Debit!$A:$A,"&gt;="&amp;Lists!$D$4,Debit!$A:$A,"&lt;"&amp;EDATE(Lists!$D$4,1))</f>
        <v>36074</v>
      </c>
      <c r="E50" s="92">
        <f>SUMIFS(Debit!$G:$G,Debit!$B:$B,Lists!$A$2,Debit!$E:$E,Lists!$B$6,Debit!$C:$C,Lists!$E$3,Debit!$A:$A,"&gt;="&amp;Lists!$D$4,Debit!$A:$A,"&lt;"&amp;EDATE(Lists!$D$4,1))</f>
        <v>0</v>
      </c>
      <c r="F50" s="92">
        <f t="shared" si="1"/>
        <v>36074</v>
      </c>
    </row>
    <row r="51" ht="15.75" customHeight="1">
      <c r="A51" s="9" t="s">
        <v>35</v>
      </c>
      <c r="B51" s="9" t="str">
        <f>Lists!$A$2</f>
        <v>Fibre Unit</v>
      </c>
      <c r="C51" s="9" t="str">
        <f>Lists!$B$7</f>
        <v>Union Bank - CC</v>
      </c>
      <c r="D51" s="92">
        <f>SUMIFS(Debit!$G:$G,Debit!$B:$B,Lists!$A$2,Debit!$E:$E,Lists!$B$7,Debit!$C:$C,Lists!$E$2,Debit!$A:$A,"&gt;="&amp;Lists!$D$4,Debit!$A:$A,"&lt;"&amp;EDATE(Lists!$D$4,1))</f>
        <v>0</v>
      </c>
      <c r="E51" s="92">
        <f>SUMIFS(Debit!$G:$G,Debit!$B:$B,Lists!$A$2,Debit!$E:$E,Lists!$B$7,Debit!$C:$C,Lists!$E$3,Debit!$A:$A,"&gt;="&amp;Lists!$D$4,Debit!$A:$A,"&lt;"&amp;EDATE(Lists!$D$4,1))</f>
        <v>240209</v>
      </c>
      <c r="F51" s="92">
        <f t="shared" si="1"/>
        <v>240209</v>
      </c>
    </row>
    <row r="52" ht="15.75" customHeight="1">
      <c r="A52" s="9" t="s">
        <v>35</v>
      </c>
      <c r="B52" s="9" t="str">
        <f>Lists!$A$2</f>
        <v>Fibre Unit</v>
      </c>
      <c r="C52" s="9" t="str">
        <f>Lists!$B$8</f>
        <v>Union Bank - Current</v>
      </c>
      <c r="D52" s="92">
        <f>SUMIFS(Debit!$G:$G,Debit!$B:$B,Lists!$A$2,Debit!$E:$E,Lists!$B$8,Debit!$C:$C,Lists!$E$2,Debit!$A:$A,"&gt;="&amp;Lists!$D$4,Debit!$A:$A,"&lt;"&amp;EDATE(Lists!$D$4,1))</f>
        <v>0</v>
      </c>
      <c r="E52" s="92">
        <f>SUMIFS(Debit!$G:$G,Debit!$B:$B,Lists!$A$2,Debit!$E:$E,Lists!$B$8,Debit!$C:$C,Lists!$E$3,Debit!$A:$A,"&gt;="&amp;Lists!$D$4,Debit!$A:$A,"&lt;"&amp;EDATE(Lists!$D$4,1))</f>
        <v>0</v>
      </c>
      <c r="F52" s="92">
        <f t="shared" si="1"/>
        <v>0</v>
      </c>
    </row>
    <row r="53" ht="15.75" customHeight="1">
      <c r="A53" s="9" t="s">
        <v>35</v>
      </c>
      <c r="B53" s="9" t="str">
        <f>Lists!$A$3</f>
        <v>Chips Unit</v>
      </c>
      <c r="C53" s="9" t="str">
        <f>Lists!$B$2</f>
        <v>Shareholder - Jagadeesan</v>
      </c>
      <c r="D53" s="92">
        <f>SUMIFS(Debit!$G:$G,Debit!$B:$B,Lists!$A$3,Debit!$E:$E,Lists!$B$2,Debit!$C:$C,Lists!$E$2,Debit!$A:$A,"&gt;="&amp;Lists!$D$4,Debit!$A:$A,"&lt;"&amp;EDATE(Lists!$D$4,1))</f>
        <v>18817</v>
      </c>
      <c r="E53" s="92">
        <f>SUMIFS(Debit!$G:$G,Debit!$B:$B,Lists!$A$3,Debit!$E:$E,Lists!$B$2,Debit!$C:$C,Lists!$E$3,Debit!$A:$A,"&gt;="&amp;Lists!$D$4,Debit!$A:$A,"&lt;"&amp;EDATE(Lists!$D$4,1))</f>
        <v>55840</v>
      </c>
      <c r="F53" s="92">
        <f t="shared" si="1"/>
        <v>74657</v>
      </c>
    </row>
    <row r="54" ht="15.75" customHeight="1">
      <c r="A54" s="9" t="s">
        <v>35</v>
      </c>
      <c r="B54" s="9" t="str">
        <f>Lists!$A$3</f>
        <v>Chips Unit</v>
      </c>
      <c r="C54" s="9" t="str">
        <f>Lists!$B$3</f>
        <v>Shareholder - Jagadeshwaran</v>
      </c>
      <c r="D54" s="92">
        <f>SUMIFS(Debit!$G:$G,Debit!$B:$B,Lists!$A$3,Debit!$E:$E,Lists!$B$3,Debit!$C:$C,Lists!$E$2,Debit!$A:$A,"&gt;="&amp;Lists!$D$4,Debit!$A:$A,"&lt;"&amp;EDATE(Lists!$D$4,1))</f>
        <v>12536</v>
      </c>
      <c r="E54" s="92">
        <f>SUMIFS(Debit!$G:$G,Debit!$B:$B,Lists!$A$3,Debit!$E:$E,Lists!$B$3,Debit!$C:$C,Lists!$E$3,Debit!$A:$A,"&gt;="&amp;Lists!$D$4,Debit!$A:$A,"&lt;"&amp;EDATE(Lists!$D$4,1))</f>
        <v>0</v>
      </c>
      <c r="F54" s="92">
        <f t="shared" si="1"/>
        <v>12536</v>
      </c>
    </row>
    <row r="55" ht="15.75" customHeight="1">
      <c r="A55" s="9" t="s">
        <v>35</v>
      </c>
      <c r="B55" s="9" t="str">
        <f>Lists!$A$3</f>
        <v>Chips Unit</v>
      </c>
      <c r="C55" s="9" t="str">
        <f>Lists!$B$4</f>
        <v>Shareholder - Vellingiri</v>
      </c>
      <c r="D55" s="92">
        <f>SUMIFS(Debit!$G:$G,Debit!$B:$B,Lists!$A$3,Debit!$E:$E,Lists!$B$4,Debit!$C:$C,Lists!$E$2,Debit!$A:$A,"&gt;="&amp;Lists!$D$4,Debit!$A:$A,"&lt;"&amp;EDATE(Lists!$D$4,1))</f>
        <v>0</v>
      </c>
      <c r="E55" s="92">
        <f>SUMIFS(Debit!$G:$G,Debit!$B:$B,Lists!$A$3,Debit!$E:$E,Lists!$B$4,Debit!$C:$C,Lists!$E$3,Debit!$A:$A,"&gt;="&amp;Lists!$D$4,Debit!$A:$A,"&lt;"&amp;EDATE(Lists!$D$4,1))</f>
        <v>0</v>
      </c>
      <c r="F55" s="92">
        <f t="shared" si="1"/>
        <v>0</v>
      </c>
    </row>
    <row r="56" ht="15.75" customHeight="1">
      <c r="A56" s="9" t="s">
        <v>35</v>
      </c>
      <c r="B56" s="9" t="str">
        <f>Lists!$A$3</f>
        <v>Chips Unit</v>
      </c>
      <c r="C56" s="9" t="str">
        <f>Lists!$B$5</f>
        <v>Vikas</v>
      </c>
      <c r="D56" s="92">
        <f>SUMIFS(Debit!$G:$G,Debit!$B:$B,Lists!$A$3,Debit!$E:$E,Lists!$B$5,Debit!$C:$C,Lists!$E$2,Debit!$A:$A,"&gt;="&amp;Lists!$D$4,Debit!$A:$A,"&lt;"&amp;EDATE(Lists!$D$4,1))</f>
        <v>0</v>
      </c>
      <c r="E56" s="92">
        <f>SUMIFS(Debit!$G:$G,Debit!$B:$B,Lists!$A$3,Debit!$E:$E,Lists!$B$5,Debit!$C:$C,Lists!$E$3,Debit!$A:$A,"&gt;="&amp;Lists!$D$4,Debit!$A:$A,"&lt;"&amp;EDATE(Lists!$D$4,1))</f>
        <v>0</v>
      </c>
      <c r="F56" s="92">
        <f t="shared" si="1"/>
        <v>0</v>
      </c>
    </row>
    <row r="57" ht="15.75" customHeight="1">
      <c r="A57" s="9" t="s">
        <v>35</v>
      </c>
      <c r="B57" s="9" t="str">
        <f>Lists!$A$3</f>
        <v>Chips Unit</v>
      </c>
      <c r="C57" s="9" t="str">
        <f>Lists!$B$6</f>
        <v>Payable to Alam</v>
      </c>
      <c r="D57" s="92">
        <f>SUMIFS(Debit!$G:$G,Debit!$B:$B,Lists!$A$3,Debit!$E:$E,Lists!$B$6,Debit!$C:$C,Lists!$E$2,Debit!$A:$A,"&gt;="&amp;Lists!$D$4,Debit!$A:$A,"&lt;"&amp;EDATE(Lists!$D$4,1))</f>
        <v>464159.84</v>
      </c>
      <c r="E57" s="92">
        <f>SUMIFS(Debit!$G:$G,Debit!$B:$B,Lists!$A$3,Debit!$E:$E,Lists!$B$6,Debit!$C:$C,Lists!$E$3,Debit!$A:$A,"&gt;="&amp;Lists!$D$4,Debit!$A:$A,"&lt;"&amp;EDATE(Lists!$D$4,1))</f>
        <v>0</v>
      </c>
      <c r="F57" s="92">
        <f t="shared" si="1"/>
        <v>464159.84</v>
      </c>
    </row>
    <row r="58" ht="15.75" customHeight="1">
      <c r="A58" s="9" t="s">
        <v>35</v>
      </c>
      <c r="B58" s="9" t="str">
        <f>Lists!$A$3</f>
        <v>Chips Unit</v>
      </c>
      <c r="C58" s="9" t="str">
        <f>Lists!$B$7</f>
        <v>Union Bank - CC</v>
      </c>
      <c r="D58" s="92">
        <f>SUMIFS(Debit!$G:$G,Debit!$B:$B,Lists!$A$3,Debit!$E:$E,Lists!$B$7,Debit!$C:$C,Lists!$E$2,Debit!$A:$A,"&gt;="&amp;Lists!$D$4,Debit!$A:$A,"&lt;"&amp;EDATE(Lists!$D$4,1))</f>
        <v>78623.61</v>
      </c>
      <c r="E58" s="92">
        <f>SUMIFS(Debit!$G:$G,Debit!$B:$B,Lists!$A$3,Debit!$E:$E,Lists!$B$7,Debit!$C:$C,Lists!$E$3,Debit!$A:$A,"&gt;="&amp;Lists!$D$4,Debit!$A:$A,"&lt;"&amp;EDATE(Lists!$D$4,1))</f>
        <v>256873</v>
      </c>
      <c r="F58" s="92">
        <f t="shared" si="1"/>
        <v>335496.61</v>
      </c>
    </row>
    <row r="59" ht="15.75" customHeight="1">
      <c r="A59" s="9" t="s">
        <v>35</v>
      </c>
      <c r="B59" s="9" t="str">
        <f>Lists!$A$3</f>
        <v>Chips Unit</v>
      </c>
      <c r="C59" s="9" t="str">
        <f>Lists!$B$8</f>
        <v>Union Bank - Current</v>
      </c>
      <c r="D59" s="92">
        <f>SUMIFS(Debit!$G:$G,Debit!$B:$B,Lists!$A$3,Debit!$E:$E,Lists!$B$8,Debit!$C:$C,Lists!$E$2,Debit!$A:$A,"&gt;="&amp;Lists!$D$4,Debit!$A:$A,"&lt;"&amp;EDATE(Lists!$D$4,1))</f>
        <v>0</v>
      </c>
      <c r="E59" s="92">
        <f>SUMIFS(Debit!$G:$G,Debit!$B:$B,Lists!$A$3,Debit!$E:$E,Lists!$B$8,Debit!$C:$C,Lists!$E$3,Debit!$A:$A,"&gt;="&amp;Lists!$D$4,Debit!$A:$A,"&lt;"&amp;EDATE(Lists!$D$4,1))</f>
        <v>0</v>
      </c>
      <c r="F59" s="92">
        <f t="shared" si="1"/>
        <v>0</v>
      </c>
    </row>
    <row r="60" ht="15.75" customHeight="1">
      <c r="A60" s="9" t="s">
        <v>35</v>
      </c>
      <c r="B60" s="9" t="str">
        <f>Lists!$A$4</f>
        <v>Washing Unit</v>
      </c>
      <c r="C60" s="9" t="str">
        <f>Lists!$B$2</f>
        <v>Shareholder - Jagadeesan</v>
      </c>
      <c r="D60" s="92">
        <f>SUMIFS(Debit!$G:$G,Debit!$B:$B,Lists!$A$4,Debit!$E:$E,Lists!$B$2,Debit!$C:$C,Lists!$E$2,Debit!$A:$A,"&gt;="&amp;Lists!$D$4,Debit!$A:$A,"&lt;"&amp;EDATE(Lists!$D$4,1))</f>
        <v>26870</v>
      </c>
      <c r="E60" s="92">
        <f>SUMIFS(Debit!$G:$G,Debit!$B:$B,Lists!$A$4,Debit!$E:$E,Lists!$B$2,Debit!$C:$C,Lists!$E$3,Debit!$A:$A,"&gt;="&amp;Lists!$D$4,Debit!$A:$A,"&lt;"&amp;EDATE(Lists!$D$4,1))</f>
        <v>0</v>
      </c>
      <c r="F60" s="92">
        <f t="shared" si="1"/>
        <v>26870</v>
      </c>
    </row>
    <row r="61" ht="15.75" customHeight="1">
      <c r="A61" s="9" t="s">
        <v>35</v>
      </c>
      <c r="B61" s="9" t="str">
        <f>Lists!$A$4</f>
        <v>Washing Unit</v>
      </c>
      <c r="C61" s="9" t="str">
        <f>Lists!$B$3</f>
        <v>Shareholder - Jagadeshwaran</v>
      </c>
      <c r="D61" s="92">
        <f>SUMIFS(Debit!$G:$G,Debit!$B:$B,Lists!$A$4,Debit!$E:$E,Lists!$B$3,Debit!$C:$C,Lists!$E$2,Debit!$A:$A,"&gt;="&amp;Lists!$D$4,Debit!$A:$A,"&lt;"&amp;EDATE(Lists!$D$4,1))</f>
        <v>0</v>
      </c>
      <c r="E61" s="92">
        <f>SUMIFS(Debit!$G:$G,Debit!$B:$B,Lists!$A$4,Debit!$E:$E,Lists!$B$3,Debit!$C:$C,Lists!$E$3,Debit!$A:$A,"&gt;="&amp;Lists!$D$4,Debit!$A:$A,"&lt;"&amp;EDATE(Lists!$D$4,1))</f>
        <v>0</v>
      </c>
      <c r="F61" s="92">
        <f t="shared" si="1"/>
        <v>0</v>
      </c>
    </row>
    <row r="62" ht="15.75" customHeight="1">
      <c r="A62" s="9" t="s">
        <v>35</v>
      </c>
      <c r="B62" s="9" t="str">
        <f>Lists!$A$4</f>
        <v>Washing Unit</v>
      </c>
      <c r="C62" s="9" t="str">
        <f>Lists!$B$4</f>
        <v>Shareholder - Vellingiri</v>
      </c>
      <c r="D62" s="92">
        <f>SUMIFS(Debit!$G:$G,Debit!$B:$B,Lists!$A$4,Debit!$E:$E,Lists!$B$4,Debit!$C:$C,Lists!$E$2,Debit!$A:$A,"&gt;="&amp;Lists!$D$4,Debit!$A:$A,"&lt;"&amp;EDATE(Lists!$D$4,1))</f>
        <v>319665</v>
      </c>
      <c r="E62" s="92">
        <f>SUMIFS(Debit!$G:$G,Debit!$B:$B,Lists!$A$4,Debit!$E:$E,Lists!$B$4,Debit!$C:$C,Lists!$E$3,Debit!$A:$A,"&gt;="&amp;Lists!$D$4,Debit!$A:$A,"&lt;"&amp;EDATE(Lists!$D$4,1))</f>
        <v>0</v>
      </c>
      <c r="F62" s="92">
        <f t="shared" si="1"/>
        <v>319665</v>
      </c>
    </row>
    <row r="63" ht="15.75" customHeight="1">
      <c r="A63" s="9" t="s">
        <v>35</v>
      </c>
      <c r="B63" s="9" t="str">
        <f>Lists!$A$4</f>
        <v>Washing Unit</v>
      </c>
      <c r="C63" s="9" t="str">
        <f>Lists!$B$5</f>
        <v>Vikas</v>
      </c>
      <c r="D63" s="92">
        <f>SUMIFS(Debit!$G:$G,Debit!$B:$B,Lists!$A$4,Debit!$E:$E,Lists!$B$5,Debit!$C:$C,Lists!$E$2,Debit!$A:$A,"&gt;="&amp;Lists!$D$4,Debit!$A:$A,"&lt;"&amp;EDATE(Lists!$D$4,1))</f>
        <v>0</v>
      </c>
      <c r="E63" s="92">
        <f>SUMIFS(Debit!$G:$G,Debit!$B:$B,Lists!$A$4,Debit!$E:$E,Lists!$B$5,Debit!$C:$C,Lists!$E$3,Debit!$A:$A,"&gt;="&amp;Lists!$D$4,Debit!$A:$A,"&lt;"&amp;EDATE(Lists!$D$4,1))</f>
        <v>0</v>
      </c>
      <c r="F63" s="92">
        <f t="shared" si="1"/>
        <v>0</v>
      </c>
    </row>
    <row r="64" ht="15.75" customHeight="1">
      <c r="A64" s="9" t="s">
        <v>35</v>
      </c>
      <c r="B64" s="9" t="str">
        <f>Lists!$A$4</f>
        <v>Washing Unit</v>
      </c>
      <c r="C64" s="9" t="str">
        <f>Lists!$B$6</f>
        <v>Payable to Alam</v>
      </c>
      <c r="D64" s="92">
        <f>SUMIFS(Debit!$G:$G,Debit!$B:$B,Lists!$A$4,Debit!$E:$E,Lists!$B$6,Debit!$C:$C,Lists!$E$2,Debit!$A:$A,"&gt;="&amp;Lists!$D$4,Debit!$A:$A,"&lt;"&amp;EDATE(Lists!$D$4,1))</f>
        <v>65526</v>
      </c>
      <c r="E64" s="92">
        <f>SUMIFS(Debit!$G:$G,Debit!$B:$B,Lists!$A$4,Debit!$E:$E,Lists!$B$6,Debit!$C:$C,Lists!$E$3,Debit!$A:$A,"&gt;="&amp;Lists!$D$4,Debit!$A:$A,"&lt;"&amp;EDATE(Lists!$D$4,1))</f>
        <v>0</v>
      </c>
      <c r="F64" s="92">
        <f t="shared" si="1"/>
        <v>65526</v>
      </c>
    </row>
    <row r="65" ht="15.75" customHeight="1">
      <c r="A65" s="9" t="s">
        <v>35</v>
      </c>
      <c r="B65" s="9" t="str">
        <f>Lists!$A$4</f>
        <v>Washing Unit</v>
      </c>
      <c r="C65" s="9" t="str">
        <f>Lists!$B$7</f>
        <v>Union Bank - CC</v>
      </c>
      <c r="D65" s="92">
        <f>SUMIFS(Debit!$G:$G,Debit!$B:$B,Lists!$A$4,Debit!$E:$E,Lists!$B$7,Debit!$C:$C,Lists!$E$2,Debit!$A:$A,"&gt;="&amp;Lists!$D$4,Debit!$A:$A,"&lt;"&amp;EDATE(Lists!$D$4,1))</f>
        <v>173843</v>
      </c>
      <c r="E65" s="92">
        <f>SUMIFS(Debit!$G:$G,Debit!$B:$B,Lists!$A$4,Debit!$E:$E,Lists!$B$7,Debit!$C:$C,Lists!$E$3,Debit!$A:$A,"&gt;="&amp;Lists!$D$4,Debit!$A:$A,"&lt;"&amp;EDATE(Lists!$D$4,1))</f>
        <v>0</v>
      </c>
      <c r="F65" s="92">
        <f t="shared" si="1"/>
        <v>173843</v>
      </c>
    </row>
    <row r="66" ht="15.75" customHeight="1">
      <c r="A66" s="9" t="s">
        <v>35</v>
      </c>
      <c r="B66" s="9" t="str">
        <f>Lists!$A$4</f>
        <v>Washing Unit</v>
      </c>
      <c r="C66" s="9" t="str">
        <f>Lists!$B$8</f>
        <v>Union Bank - Current</v>
      </c>
      <c r="D66" s="92">
        <f>SUMIFS(Debit!$G:$G,Debit!$B:$B,Lists!$A$4,Debit!$E:$E,Lists!$B$8,Debit!$C:$C,Lists!$E$2,Debit!$A:$A,"&gt;="&amp;Lists!$D$4,Debit!$A:$A,"&lt;"&amp;EDATE(Lists!$D$4,1))</f>
        <v>0</v>
      </c>
      <c r="E66" s="92">
        <f>SUMIFS(Debit!$G:$G,Debit!$B:$B,Lists!$A$4,Debit!$E:$E,Lists!$B$8,Debit!$C:$C,Lists!$E$3,Debit!$A:$A,"&gt;="&amp;Lists!$D$4,Debit!$A:$A,"&lt;"&amp;EDATE(Lists!$D$4,1))</f>
        <v>0</v>
      </c>
      <c r="F66" s="92">
        <f t="shared" si="1"/>
        <v>0</v>
      </c>
    </row>
    <row r="67" ht="15.75" customHeight="1">
      <c r="A67" s="9" t="s">
        <v>42</v>
      </c>
      <c r="B67" s="9" t="str">
        <f>Lists!$A$2</f>
        <v>Fibre Unit</v>
      </c>
      <c r="C67" s="9" t="str">
        <f>Lists!$B$2</f>
        <v>Shareholder - Jagadeesan</v>
      </c>
      <c r="D67" s="92">
        <f>SUMIFS(Debit!$G:$G,Debit!$B:$B,Lists!$A$2,Debit!$E:$E,Lists!$B$2,Debit!$C:$C,Lists!$E$2,Debit!$A:$A,"&gt;="&amp;Lists!$D$5,Debit!$A:$A,"&lt;"&amp;EDATE(Lists!$D$5,1))</f>
        <v>39380</v>
      </c>
      <c r="E67" s="92">
        <f>SUMIFS(Debit!$G:$G,Debit!$B:$B,Lists!$A$2,Debit!$E:$E,Lists!$B$2,Debit!$C:$C,Lists!$E$3,Debit!$A:$A,"&gt;="&amp;Lists!$D$5,Debit!$A:$A,"&lt;"&amp;EDATE(Lists!$D$5,1))</f>
        <v>44197</v>
      </c>
      <c r="F67" s="92">
        <f t="shared" si="1"/>
        <v>83577</v>
      </c>
    </row>
    <row r="68" ht="15.75" customHeight="1">
      <c r="A68" s="9" t="s">
        <v>42</v>
      </c>
      <c r="B68" s="9" t="str">
        <f>Lists!$A$2</f>
        <v>Fibre Unit</v>
      </c>
      <c r="C68" s="9" t="str">
        <f>Lists!$B$3</f>
        <v>Shareholder - Jagadeshwaran</v>
      </c>
      <c r="D68" s="92">
        <f>SUMIFS(Debit!$G:$G,Debit!$B:$B,Lists!$A$2,Debit!$E:$E,Lists!$B$3,Debit!$C:$C,Lists!$E$2,Debit!$A:$A,"&gt;="&amp;Lists!$D$5,Debit!$A:$A,"&lt;"&amp;EDATE(Lists!$D$5,1))</f>
        <v>0</v>
      </c>
      <c r="E68" s="92">
        <f>SUMIFS(Debit!$G:$G,Debit!$B:$B,Lists!$A$2,Debit!$E:$E,Lists!$B$3,Debit!$C:$C,Lists!$E$3,Debit!$A:$A,"&gt;="&amp;Lists!$D$5,Debit!$A:$A,"&lt;"&amp;EDATE(Lists!$D$5,1))</f>
        <v>0</v>
      </c>
      <c r="F68" s="92">
        <f t="shared" si="1"/>
        <v>0</v>
      </c>
    </row>
    <row r="69" ht="15.75" customHeight="1">
      <c r="A69" s="9" t="s">
        <v>42</v>
      </c>
      <c r="B69" s="9" t="str">
        <f>Lists!$A$2</f>
        <v>Fibre Unit</v>
      </c>
      <c r="C69" s="9" t="str">
        <f>Lists!$B$4</f>
        <v>Shareholder - Vellingiri</v>
      </c>
      <c r="D69" s="92">
        <f>SUMIFS(Debit!$G:$G,Debit!$B:$B,Lists!$A$2,Debit!$E:$E,Lists!$B$4,Debit!$C:$C,Lists!$E$2,Debit!$A:$A,"&gt;="&amp;Lists!$D$5,Debit!$A:$A,"&lt;"&amp;EDATE(Lists!$D$5,1))</f>
        <v>0</v>
      </c>
      <c r="E69" s="92">
        <f>SUMIFS(Debit!$G:$G,Debit!$B:$B,Lists!$A$2,Debit!$E:$E,Lists!$B$4,Debit!$C:$C,Lists!$E$3,Debit!$A:$A,"&gt;="&amp;Lists!$D$5,Debit!$A:$A,"&lt;"&amp;EDATE(Lists!$D$5,1))</f>
        <v>0</v>
      </c>
      <c r="F69" s="92">
        <f t="shared" si="1"/>
        <v>0</v>
      </c>
    </row>
    <row r="70" ht="15.75" customHeight="1">
      <c r="A70" s="9" t="s">
        <v>42</v>
      </c>
      <c r="B70" s="9" t="str">
        <f>Lists!$A$2</f>
        <v>Fibre Unit</v>
      </c>
      <c r="C70" s="9" t="str">
        <f>Lists!$B$5</f>
        <v>Vikas</v>
      </c>
      <c r="D70" s="92">
        <f>SUMIFS(Debit!$G:$G,Debit!$B:$B,Lists!$A$2,Debit!$E:$E,Lists!$B$5,Debit!$C:$C,Lists!$E$2,Debit!$A:$A,"&gt;="&amp;Lists!$D$5,Debit!$A:$A,"&lt;"&amp;EDATE(Lists!$D$5,1))</f>
        <v>38470</v>
      </c>
      <c r="E70" s="92">
        <f>SUMIFS(Debit!$G:$G,Debit!$B:$B,Lists!$A$2,Debit!$E:$E,Lists!$B$5,Debit!$C:$C,Lists!$E$3,Debit!$A:$A,"&gt;="&amp;Lists!$D$5,Debit!$A:$A,"&lt;"&amp;EDATE(Lists!$D$5,1))</f>
        <v>0</v>
      </c>
      <c r="F70" s="92">
        <f t="shared" si="1"/>
        <v>38470</v>
      </c>
    </row>
    <row r="71" ht="15.75" customHeight="1">
      <c r="A71" s="9" t="s">
        <v>42</v>
      </c>
      <c r="B71" s="9" t="str">
        <f>Lists!$A$2</f>
        <v>Fibre Unit</v>
      </c>
      <c r="C71" s="9" t="str">
        <f>Lists!$B$6</f>
        <v>Payable to Alam</v>
      </c>
      <c r="D71" s="92">
        <f>SUMIFS(Debit!$G:$G,Debit!$B:$B,Lists!$A$2,Debit!$E:$E,Lists!$B$6,Debit!$C:$C,Lists!$E$2,Debit!$A:$A,"&gt;="&amp;Lists!$D$5,Debit!$A:$A,"&lt;"&amp;EDATE(Lists!$D$5,1))</f>
        <v>69330</v>
      </c>
      <c r="E71" s="92">
        <f>SUMIFS(Debit!$G:$G,Debit!$B:$B,Lists!$A$2,Debit!$E:$E,Lists!$B$6,Debit!$C:$C,Lists!$E$3,Debit!$A:$A,"&gt;="&amp;Lists!$D$5,Debit!$A:$A,"&lt;"&amp;EDATE(Lists!$D$5,1))</f>
        <v>40000</v>
      </c>
      <c r="F71" s="92">
        <f t="shared" si="1"/>
        <v>109330</v>
      </c>
    </row>
    <row r="72" ht="15.75" customHeight="1">
      <c r="A72" s="9" t="s">
        <v>42</v>
      </c>
      <c r="B72" s="9" t="str">
        <f>Lists!$A$2</f>
        <v>Fibre Unit</v>
      </c>
      <c r="C72" s="9" t="str">
        <f>Lists!$B$7</f>
        <v>Union Bank - CC</v>
      </c>
      <c r="D72" s="92">
        <f>SUMIFS(Debit!$G:$G,Debit!$B:$B,Lists!$A$2,Debit!$E:$E,Lists!$B$7,Debit!$C:$C,Lists!$E$2,Debit!$A:$A,"&gt;="&amp;Lists!$D$5,Debit!$A:$A,"&lt;"&amp;EDATE(Lists!$D$5,1))</f>
        <v>18450</v>
      </c>
      <c r="E72" s="92">
        <f>SUMIFS(Debit!$G:$G,Debit!$B:$B,Lists!$A$2,Debit!$E:$E,Lists!$B$7,Debit!$C:$C,Lists!$E$3,Debit!$A:$A,"&gt;="&amp;Lists!$D$5,Debit!$A:$A,"&lt;"&amp;EDATE(Lists!$D$5,1))</f>
        <v>417438.18</v>
      </c>
      <c r="F72" s="92">
        <f t="shared" si="1"/>
        <v>435888.18</v>
      </c>
    </row>
    <row r="73" ht="15.75" customHeight="1">
      <c r="A73" s="9" t="s">
        <v>42</v>
      </c>
      <c r="B73" s="9" t="str">
        <f>Lists!$A$2</f>
        <v>Fibre Unit</v>
      </c>
      <c r="C73" s="9" t="str">
        <f>Lists!$B$8</f>
        <v>Union Bank - Current</v>
      </c>
      <c r="D73" s="92">
        <f>SUMIFS(Debit!$G:$G,Debit!$B:$B,Lists!$A$2,Debit!$E:$E,Lists!$B$8,Debit!$C:$C,Lists!$E$2,Debit!$A:$A,"&gt;="&amp;Lists!$D$5,Debit!$A:$A,"&lt;"&amp;EDATE(Lists!$D$5,1))</f>
        <v>6421</v>
      </c>
      <c r="E73" s="92">
        <f>SUMIFS(Debit!$G:$G,Debit!$B:$B,Lists!$A$2,Debit!$E:$E,Lists!$B$8,Debit!$C:$C,Lists!$E$3,Debit!$A:$A,"&gt;="&amp;Lists!$D$5,Debit!$A:$A,"&lt;"&amp;EDATE(Lists!$D$5,1))</f>
        <v>0</v>
      </c>
      <c r="F73" s="92">
        <f t="shared" si="1"/>
        <v>6421</v>
      </c>
    </row>
    <row r="74" ht="15.75" customHeight="1">
      <c r="A74" s="9" t="s">
        <v>42</v>
      </c>
      <c r="B74" s="9" t="str">
        <f>Lists!$A$3</f>
        <v>Chips Unit</v>
      </c>
      <c r="C74" s="9" t="str">
        <f>Lists!$B$2</f>
        <v>Shareholder - Jagadeesan</v>
      </c>
      <c r="D74" s="92">
        <f>SUMIFS(Debit!$G:$G,Debit!$B:$B,Lists!$A$3,Debit!$E:$E,Lists!$B$2,Debit!$C:$C,Lists!$E$2,Debit!$A:$A,"&gt;="&amp;Lists!$D$5,Debit!$A:$A,"&lt;"&amp;EDATE(Lists!$D$5,1))</f>
        <v>40318.3</v>
      </c>
      <c r="E74" s="92">
        <f>SUMIFS(Debit!$G:$G,Debit!$B:$B,Lists!$A$3,Debit!$E:$E,Lists!$B$2,Debit!$C:$C,Lists!$E$3,Debit!$A:$A,"&gt;="&amp;Lists!$D$5,Debit!$A:$A,"&lt;"&amp;EDATE(Lists!$D$5,1))</f>
        <v>0</v>
      </c>
      <c r="F74" s="92">
        <f t="shared" si="1"/>
        <v>40318.3</v>
      </c>
    </row>
    <row r="75" ht="15.75" customHeight="1">
      <c r="A75" s="9" t="s">
        <v>42</v>
      </c>
      <c r="B75" s="9" t="str">
        <f>Lists!$A$3</f>
        <v>Chips Unit</v>
      </c>
      <c r="C75" s="9" t="str">
        <f>Lists!$B$3</f>
        <v>Shareholder - Jagadeshwaran</v>
      </c>
      <c r="D75" s="92">
        <f>SUMIFS(Debit!$G:$G,Debit!$B:$B,Lists!$A$3,Debit!$E:$E,Lists!$B$3,Debit!$C:$C,Lists!$E$2,Debit!$A:$A,"&gt;="&amp;Lists!$D$5,Debit!$A:$A,"&lt;"&amp;EDATE(Lists!$D$5,1))</f>
        <v>99415</v>
      </c>
      <c r="E75" s="92">
        <f>SUMIFS(Debit!$G:$G,Debit!$B:$B,Lists!$A$3,Debit!$E:$E,Lists!$B$3,Debit!$C:$C,Lists!$E$3,Debit!$A:$A,"&gt;="&amp;Lists!$D$5,Debit!$A:$A,"&lt;"&amp;EDATE(Lists!$D$5,1))</f>
        <v>0</v>
      </c>
      <c r="F75" s="92">
        <f t="shared" si="1"/>
        <v>99415</v>
      </c>
    </row>
    <row r="76" ht="15.75" customHeight="1">
      <c r="A76" s="9" t="s">
        <v>42</v>
      </c>
      <c r="B76" s="9" t="str">
        <f>Lists!$A$3</f>
        <v>Chips Unit</v>
      </c>
      <c r="C76" s="9" t="str">
        <f>Lists!$B$4</f>
        <v>Shareholder - Vellingiri</v>
      </c>
      <c r="D76" s="92">
        <f>SUMIFS(Debit!$G:$G,Debit!$B:$B,Lists!$A$3,Debit!$E:$E,Lists!$B$4,Debit!$C:$C,Lists!$E$2,Debit!$A:$A,"&gt;="&amp;Lists!$D$5,Debit!$A:$A,"&lt;"&amp;EDATE(Lists!$D$5,1))</f>
        <v>0</v>
      </c>
      <c r="E76" s="92">
        <f>SUMIFS(Debit!$G:$G,Debit!$B:$B,Lists!$A$3,Debit!$E:$E,Lists!$B$4,Debit!$C:$C,Lists!$E$3,Debit!$A:$A,"&gt;="&amp;Lists!$D$5,Debit!$A:$A,"&lt;"&amp;EDATE(Lists!$D$5,1))</f>
        <v>0</v>
      </c>
      <c r="F76" s="92">
        <f t="shared" si="1"/>
        <v>0</v>
      </c>
    </row>
    <row r="77" ht="15.75" customHeight="1">
      <c r="A77" s="9" t="s">
        <v>42</v>
      </c>
      <c r="B77" s="9" t="str">
        <f>Lists!$A$3</f>
        <v>Chips Unit</v>
      </c>
      <c r="C77" s="9" t="str">
        <f>Lists!$B$5</f>
        <v>Vikas</v>
      </c>
      <c r="D77" s="92">
        <f>SUMIFS(Debit!$G:$G,Debit!$B:$B,Lists!$A$3,Debit!$E:$E,Lists!$B$5,Debit!$C:$C,Lists!$E$2,Debit!$A:$A,"&gt;="&amp;Lists!$D$5,Debit!$A:$A,"&lt;"&amp;EDATE(Lists!$D$5,1))</f>
        <v>0</v>
      </c>
      <c r="E77" s="92">
        <f>SUMIFS(Debit!$G:$G,Debit!$B:$B,Lists!$A$3,Debit!$E:$E,Lists!$B$5,Debit!$C:$C,Lists!$E$3,Debit!$A:$A,"&gt;="&amp;Lists!$D$5,Debit!$A:$A,"&lt;"&amp;EDATE(Lists!$D$5,1))</f>
        <v>0</v>
      </c>
      <c r="F77" s="92">
        <f t="shared" si="1"/>
        <v>0</v>
      </c>
    </row>
    <row r="78" ht="15.75" customHeight="1">
      <c r="A78" s="9" t="s">
        <v>42</v>
      </c>
      <c r="B78" s="9" t="str">
        <f>Lists!$A$3</f>
        <v>Chips Unit</v>
      </c>
      <c r="C78" s="9" t="str">
        <f>Lists!$B$6</f>
        <v>Payable to Alam</v>
      </c>
      <c r="D78" s="92">
        <f>SUMIFS(Debit!$G:$G,Debit!$B:$B,Lists!$A$3,Debit!$E:$E,Lists!$B$6,Debit!$C:$C,Lists!$E$2,Debit!$A:$A,"&gt;="&amp;Lists!$D$5,Debit!$A:$A,"&lt;"&amp;EDATE(Lists!$D$5,1))</f>
        <v>118318</v>
      </c>
      <c r="E78" s="92">
        <f>SUMIFS(Debit!$G:$G,Debit!$B:$B,Lists!$A$3,Debit!$E:$E,Lists!$B$6,Debit!$C:$C,Lists!$E$3,Debit!$A:$A,"&gt;="&amp;Lists!$D$5,Debit!$A:$A,"&lt;"&amp;EDATE(Lists!$D$5,1))</f>
        <v>0</v>
      </c>
      <c r="F78" s="92">
        <f t="shared" si="1"/>
        <v>118318</v>
      </c>
    </row>
    <row r="79" ht="15.75" customHeight="1">
      <c r="A79" s="9" t="s">
        <v>42</v>
      </c>
      <c r="B79" s="9" t="str">
        <f>Lists!$A$3</f>
        <v>Chips Unit</v>
      </c>
      <c r="C79" s="9" t="str">
        <f>Lists!$B$7</f>
        <v>Union Bank - CC</v>
      </c>
      <c r="D79" s="92">
        <f>SUMIFS(Debit!$G:$G,Debit!$B:$B,Lists!$A$3,Debit!$E:$E,Lists!$B$7,Debit!$C:$C,Lists!$E$2,Debit!$A:$A,"&gt;="&amp;Lists!$D$5,Debit!$A:$A,"&lt;"&amp;EDATE(Lists!$D$5,1))</f>
        <v>98935.52</v>
      </c>
      <c r="E79" s="92">
        <f>SUMIFS(Debit!$G:$G,Debit!$B:$B,Lists!$A$3,Debit!$E:$E,Lists!$B$7,Debit!$C:$C,Lists!$E$3,Debit!$A:$A,"&gt;="&amp;Lists!$D$5,Debit!$A:$A,"&lt;"&amp;EDATE(Lists!$D$5,1))</f>
        <v>135342</v>
      </c>
      <c r="F79" s="92">
        <f t="shared" si="1"/>
        <v>234277.52</v>
      </c>
    </row>
    <row r="80" ht="15.75" customHeight="1">
      <c r="A80" s="9" t="s">
        <v>42</v>
      </c>
      <c r="B80" s="9" t="str">
        <f>Lists!$A$3</f>
        <v>Chips Unit</v>
      </c>
      <c r="C80" s="9" t="str">
        <f>Lists!$B$8</f>
        <v>Union Bank - Current</v>
      </c>
      <c r="D80" s="92">
        <f>SUMIFS(Debit!$G:$G,Debit!$B:$B,Lists!$A$3,Debit!$E:$E,Lists!$B$8,Debit!$C:$C,Lists!$E$2,Debit!$A:$A,"&gt;="&amp;Lists!$D$5,Debit!$A:$A,"&lt;"&amp;EDATE(Lists!$D$5,1))</f>
        <v>0</v>
      </c>
      <c r="E80" s="92">
        <f>SUMIFS(Debit!$G:$G,Debit!$B:$B,Lists!$A$3,Debit!$E:$E,Lists!$B$8,Debit!$C:$C,Lists!$E$3,Debit!$A:$A,"&gt;="&amp;Lists!$D$5,Debit!$A:$A,"&lt;"&amp;EDATE(Lists!$D$5,1))</f>
        <v>40950</v>
      </c>
      <c r="F80" s="92">
        <f t="shared" si="1"/>
        <v>40950</v>
      </c>
    </row>
    <row r="81" ht="15.75" customHeight="1">
      <c r="A81" s="9" t="s">
        <v>42</v>
      </c>
      <c r="B81" s="9" t="str">
        <f>Lists!$A$4</f>
        <v>Washing Unit</v>
      </c>
      <c r="C81" s="9" t="str">
        <f>Lists!$B$2</f>
        <v>Shareholder - Jagadeesan</v>
      </c>
      <c r="D81" s="92">
        <f>SUMIFS(Debit!$G:$G,Debit!$B:$B,Lists!$A$4,Debit!$E:$E,Lists!$B$2,Debit!$C:$C,Lists!$E$2,Debit!$A:$A,"&gt;="&amp;Lists!$D$5,Debit!$A:$A,"&lt;"&amp;EDATE(Lists!$D$5,1))</f>
        <v>40240</v>
      </c>
      <c r="E81" s="92">
        <f>SUMIFS(Debit!$G:$G,Debit!$B:$B,Lists!$A$4,Debit!$E:$E,Lists!$B$2,Debit!$C:$C,Lists!$E$3,Debit!$A:$A,"&gt;="&amp;Lists!$D$5,Debit!$A:$A,"&lt;"&amp;EDATE(Lists!$D$5,1))</f>
        <v>0</v>
      </c>
      <c r="F81" s="92">
        <f t="shared" si="1"/>
        <v>40240</v>
      </c>
    </row>
    <row r="82" ht="15.75" customHeight="1">
      <c r="A82" s="9" t="s">
        <v>42</v>
      </c>
      <c r="B82" s="9" t="str">
        <f>Lists!$A$4</f>
        <v>Washing Unit</v>
      </c>
      <c r="C82" s="9" t="str">
        <f>Lists!$B$3</f>
        <v>Shareholder - Jagadeshwaran</v>
      </c>
      <c r="D82" s="92">
        <f>SUMIFS(Debit!$G:$G,Debit!$B:$B,Lists!$A$4,Debit!$E:$E,Lists!$B$3,Debit!$C:$C,Lists!$E$2,Debit!$A:$A,"&gt;="&amp;Lists!$D$5,Debit!$A:$A,"&lt;"&amp;EDATE(Lists!$D$5,1))</f>
        <v>0</v>
      </c>
      <c r="E82" s="92">
        <f>SUMIFS(Debit!$G:$G,Debit!$B:$B,Lists!$A$4,Debit!$E:$E,Lists!$B$3,Debit!$C:$C,Lists!$E$3,Debit!$A:$A,"&gt;="&amp;Lists!$D$5,Debit!$A:$A,"&lt;"&amp;EDATE(Lists!$D$5,1))</f>
        <v>0</v>
      </c>
      <c r="F82" s="92">
        <f t="shared" si="1"/>
        <v>0</v>
      </c>
    </row>
    <row r="83" ht="15.75" customHeight="1">
      <c r="A83" s="9" t="s">
        <v>42</v>
      </c>
      <c r="B83" s="9" t="str">
        <f>Lists!$A$4</f>
        <v>Washing Unit</v>
      </c>
      <c r="C83" s="9" t="str">
        <f>Lists!$B$4</f>
        <v>Shareholder - Vellingiri</v>
      </c>
      <c r="D83" s="92">
        <f>SUMIFS(Debit!$G:$G,Debit!$B:$B,Lists!$A$4,Debit!$E:$E,Lists!$B$4,Debit!$C:$C,Lists!$E$2,Debit!$A:$A,"&gt;="&amp;Lists!$D$5,Debit!$A:$A,"&lt;"&amp;EDATE(Lists!$D$5,1))</f>
        <v>0</v>
      </c>
      <c r="E83" s="92">
        <f>SUMIFS(Debit!$G:$G,Debit!$B:$B,Lists!$A$4,Debit!$E:$E,Lists!$B$4,Debit!$C:$C,Lists!$E$3,Debit!$A:$A,"&gt;="&amp;Lists!$D$5,Debit!$A:$A,"&lt;"&amp;EDATE(Lists!$D$5,1))</f>
        <v>0</v>
      </c>
      <c r="F83" s="92">
        <f t="shared" si="1"/>
        <v>0</v>
      </c>
    </row>
    <row r="84" ht="15.75" customHeight="1">
      <c r="A84" s="9" t="s">
        <v>42</v>
      </c>
      <c r="B84" s="9" t="str">
        <f>Lists!$A$4</f>
        <v>Washing Unit</v>
      </c>
      <c r="C84" s="9" t="str">
        <f>Lists!$B$5</f>
        <v>Vikas</v>
      </c>
      <c r="D84" s="92">
        <f>SUMIFS(Debit!$G:$G,Debit!$B:$B,Lists!$A$4,Debit!$E:$E,Lists!$B$5,Debit!$C:$C,Lists!$E$2,Debit!$A:$A,"&gt;="&amp;Lists!$D$5,Debit!$A:$A,"&lt;"&amp;EDATE(Lists!$D$5,1))</f>
        <v>0</v>
      </c>
      <c r="E84" s="92">
        <f>SUMIFS(Debit!$G:$G,Debit!$B:$B,Lists!$A$4,Debit!$E:$E,Lists!$B$5,Debit!$C:$C,Lists!$E$3,Debit!$A:$A,"&gt;="&amp;Lists!$D$5,Debit!$A:$A,"&lt;"&amp;EDATE(Lists!$D$5,1))</f>
        <v>0</v>
      </c>
      <c r="F84" s="92">
        <f t="shared" si="1"/>
        <v>0</v>
      </c>
    </row>
    <row r="85" ht="15.75" customHeight="1">
      <c r="A85" s="9" t="s">
        <v>42</v>
      </c>
      <c r="B85" s="9" t="str">
        <f>Lists!$A$4</f>
        <v>Washing Unit</v>
      </c>
      <c r="C85" s="9" t="str">
        <f>Lists!$B$6</f>
        <v>Payable to Alam</v>
      </c>
      <c r="D85" s="92">
        <f>SUMIFS(Debit!$G:$G,Debit!$B:$B,Lists!$A$4,Debit!$E:$E,Lists!$B$6,Debit!$C:$C,Lists!$E$2,Debit!$A:$A,"&gt;="&amp;Lists!$D$5,Debit!$A:$A,"&lt;"&amp;EDATE(Lists!$D$5,1))</f>
        <v>110706</v>
      </c>
      <c r="E85" s="92">
        <f>SUMIFS(Debit!$G:$G,Debit!$B:$B,Lists!$A$4,Debit!$E:$E,Lists!$B$6,Debit!$C:$C,Lists!$E$3,Debit!$A:$A,"&gt;="&amp;Lists!$D$5,Debit!$A:$A,"&lt;"&amp;EDATE(Lists!$D$5,1))</f>
        <v>0</v>
      </c>
      <c r="F85" s="92">
        <f t="shared" si="1"/>
        <v>110706</v>
      </c>
    </row>
    <row r="86" ht="15.75" customHeight="1">
      <c r="A86" s="9" t="s">
        <v>42</v>
      </c>
      <c r="B86" s="9" t="str">
        <f>Lists!$A$4</f>
        <v>Washing Unit</v>
      </c>
      <c r="C86" s="9" t="str">
        <f>Lists!$B$7</f>
        <v>Union Bank - CC</v>
      </c>
      <c r="D86" s="92">
        <f>SUMIFS(Debit!$G:$G,Debit!$B:$B,Lists!$A$4,Debit!$E:$E,Lists!$B$7,Debit!$C:$C,Lists!$E$2,Debit!$A:$A,"&gt;="&amp;Lists!$D$5,Debit!$A:$A,"&lt;"&amp;EDATE(Lists!$D$5,1))</f>
        <v>302445.2</v>
      </c>
      <c r="E86" s="92">
        <f>SUMIFS(Debit!$G:$G,Debit!$B:$B,Lists!$A$4,Debit!$E:$E,Lists!$B$7,Debit!$C:$C,Lists!$E$3,Debit!$A:$A,"&gt;="&amp;Lists!$D$5,Debit!$A:$A,"&lt;"&amp;EDATE(Lists!$D$5,1))</f>
        <v>0</v>
      </c>
      <c r="F86" s="92">
        <f t="shared" si="1"/>
        <v>302445.2</v>
      </c>
    </row>
    <row r="87" ht="15.75" customHeight="1">
      <c r="A87" s="9" t="s">
        <v>42</v>
      </c>
      <c r="B87" s="9" t="str">
        <f>Lists!$A$4</f>
        <v>Washing Unit</v>
      </c>
      <c r="C87" s="9" t="str">
        <f>Lists!$B$8</f>
        <v>Union Bank - Current</v>
      </c>
      <c r="D87" s="92">
        <f>SUMIFS(Debit!$G:$G,Debit!$B:$B,Lists!$A$4,Debit!$E:$E,Lists!$B$8,Debit!$C:$C,Lists!$E$2,Debit!$A:$A,"&gt;="&amp;Lists!$D$5,Debit!$A:$A,"&lt;"&amp;EDATE(Lists!$D$5,1))</f>
        <v>0</v>
      </c>
      <c r="E87" s="92">
        <f>SUMIFS(Debit!$G:$G,Debit!$B:$B,Lists!$A$4,Debit!$E:$E,Lists!$B$8,Debit!$C:$C,Lists!$E$3,Debit!$A:$A,"&gt;="&amp;Lists!$D$5,Debit!$A:$A,"&lt;"&amp;EDATE(Lists!$D$5,1))</f>
        <v>0</v>
      </c>
      <c r="F87" s="92">
        <f t="shared" si="1"/>
        <v>0</v>
      </c>
    </row>
    <row r="88" ht="15.75" customHeight="1">
      <c r="A88" s="9" t="s">
        <v>46</v>
      </c>
      <c r="B88" s="9" t="str">
        <f>Lists!$A$2</f>
        <v>Fibre Unit</v>
      </c>
      <c r="C88" s="9" t="str">
        <f>Lists!$B$2</f>
        <v>Shareholder - Jagadeesan</v>
      </c>
      <c r="D88" s="92">
        <f>SUMIFS(Debit!$G:$G,Debit!$B:$B,Lists!$A$2,Debit!$E:$E,Lists!$B$2,Debit!$C:$C,Lists!$E$2,Debit!$A:$A,"&gt;="&amp;Lists!$D$6,Debit!$A:$A,"&lt;"&amp;EDATE(Lists!$D$6,1))</f>
        <v>22480</v>
      </c>
      <c r="E88" s="92">
        <f>SUMIFS(Debit!$G:$G,Debit!$B:$B,Lists!$A$2,Debit!$E:$E,Lists!$B$2,Debit!$C:$C,Lists!$E$3,Debit!$A:$A,"&gt;="&amp;Lists!$D$6,Debit!$A:$A,"&lt;"&amp;EDATE(Lists!$D$6,1))</f>
        <v>0</v>
      </c>
      <c r="F88" s="92">
        <f t="shared" si="1"/>
        <v>22480</v>
      </c>
    </row>
    <row r="89" ht="15.75" customHeight="1">
      <c r="A89" s="9" t="s">
        <v>46</v>
      </c>
      <c r="B89" s="9" t="str">
        <f>Lists!$A$2</f>
        <v>Fibre Unit</v>
      </c>
      <c r="C89" s="9" t="str">
        <f>Lists!$B$3</f>
        <v>Shareholder - Jagadeshwaran</v>
      </c>
      <c r="D89" s="92">
        <f>SUMIFS(Debit!$G:$G,Debit!$B:$B,Lists!$A$2,Debit!$E:$E,Lists!$B$3,Debit!$C:$C,Lists!$E$2,Debit!$A:$A,"&gt;="&amp;Lists!$D$6,Debit!$A:$A,"&lt;"&amp;EDATE(Lists!$D$6,1))</f>
        <v>0</v>
      </c>
      <c r="E89" s="92">
        <f>SUMIFS(Debit!$G:$G,Debit!$B:$B,Lists!$A$2,Debit!$E:$E,Lists!$B$3,Debit!$C:$C,Lists!$E$3,Debit!$A:$A,"&gt;="&amp;Lists!$D$6,Debit!$A:$A,"&lt;"&amp;EDATE(Lists!$D$6,1))</f>
        <v>0</v>
      </c>
      <c r="F89" s="92">
        <f t="shared" si="1"/>
        <v>0</v>
      </c>
    </row>
    <row r="90" ht="15.75" customHeight="1">
      <c r="A90" s="9" t="s">
        <v>46</v>
      </c>
      <c r="B90" s="9" t="str">
        <f>Lists!$A$2</f>
        <v>Fibre Unit</v>
      </c>
      <c r="C90" s="9" t="str">
        <f>Lists!$B$4</f>
        <v>Shareholder - Vellingiri</v>
      </c>
      <c r="D90" s="92">
        <f>SUMIFS(Debit!$G:$G,Debit!$B:$B,Lists!$A$2,Debit!$E:$E,Lists!$B$4,Debit!$C:$C,Lists!$E$2,Debit!$A:$A,"&gt;="&amp;Lists!$D$6,Debit!$A:$A,"&lt;"&amp;EDATE(Lists!$D$6,1))</f>
        <v>0</v>
      </c>
      <c r="E90" s="92">
        <f>SUMIFS(Debit!$G:$G,Debit!$B:$B,Lists!$A$2,Debit!$E:$E,Lists!$B$4,Debit!$C:$C,Lists!$E$3,Debit!$A:$A,"&gt;="&amp;Lists!$D$6,Debit!$A:$A,"&lt;"&amp;EDATE(Lists!$D$6,1))</f>
        <v>0</v>
      </c>
      <c r="F90" s="92">
        <f t="shared" si="1"/>
        <v>0</v>
      </c>
    </row>
    <row r="91" ht="15.75" customHeight="1">
      <c r="A91" s="9" t="s">
        <v>46</v>
      </c>
      <c r="B91" s="9" t="str">
        <f>Lists!$A$2</f>
        <v>Fibre Unit</v>
      </c>
      <c r="C91" s="9" t="str">
        <f>Lists!$B$5</f>
        <v>Vikas</v>
      </c>
      <c r="D91" s="92">
        <f>SUMIFS(Debit!$G:$G,Debit!$B:$B,Lists!$A$2,Debit!$E:$E,Lists!$B$5,Debit!$C:$C,Lists!$E$2,Debit!$A:$A,"&gt;="&amp;Lists!$D$6,Debit!$A:$A,"&lt;"&amp;EDATE(Lists!$D$6,1))</f>
        <v>38470</v>
      </c>
      <c r="E91" s="92">
        <f>SUMIFS(Debit!$G:$G,Debit!$B:$B,Lists!$A$2,Debit!$E:$E,Lists!$B$5,Debit!$C:$C,Lists!$E$3,Debit!$A:$A,"&gt;="&amp;Lists!$D$6,Debit!$A:$A,"&lt;"&amp;EDATE(Lists!$D$6,1))</f>
        <v>0</v>
      </c>
      <c r="F91" s="92">
        <f t="shared" si="1"/>
        <v>38470</v>
      </c>
    </row>
    <row r="92" ht="15.75" customHeight="1">
      <c r="A92" s="9" t="s">
        <v>46</v>
      </c>
      <c r="B92" s="9" t="str">
        <f>Lists!$A$2</f>
        <v>Fibre Unit</v>
      </c>
      <c r="C92" s="9" t="str">
        <f>Lists!$B$6</f>
        <v>Payable to Alam</v>
      </c>
      <c r="D92" s="92">
        <f>SUMIFS(Debit!$G:$G,Debit!$B:$B,Lists!$A$2,Debit!$E:$E,Lists!$B$6,Debit!$C:$C,Lists!$E$2,Debit!$A:$A,"&gt;="&amp;Lists!$D$6,Debit!$A:$A,"&lt;"&amp;EDATE(Lists!$D$6,1))</f>
        <v>77231</v>
      </c>
      <c r="E92" s="92">
        <f>SUMIFS(Debit!$G:$G,Debit!$B:$B,Lists!$A$2,Debit!$E:$E,Lists!$B$6,Debit!$C:$C,Lists!$E$3,Debit!$A:$A,"&gt;="&amp;Lists!$D$6,Debit!$A:$A,"&lt;"&amp;EDATE(Lists!$D$6,1))</f>
        <v>0</v>
      </c>
      <c r="F92" s="92">
        <f t="shared" si="1"/>
        <v>77231</v>
      </c>
    </row>
    <row r="93" ht="15.75" customHeight="1">
      <c r="A93" s="9" t="s">
        <v>46</v>
      </c>
      <c r="B93" s="9" t="str">
        <f>Lists!$A$2</f>
        <v>Fibre Unit</v>
      </c>
      <c r="C93" s="9" t="str">
        <f>Lists!$B$7</f>
        <v>Union Bank - CC</v>
      </c>
      <c r="D93" s="92">
        <f>SUMIFS(Debit!$G:$G,Debit!$B:$B,Lists!$A$2,Debit!$E:$E,Lists!$B$7,Debit!$C:$C,Lists!$E$2,Debit!$A:$A,"&gt;="&amp;Lists!$D$6,Debit!$A:$A,"&lt;"&amp;EDATE(Lists!$D$6,1))</f>
        <v>458765.5</v>
      </c>
      <c r="E93" s="92">
        <f>SUMIFS(Debit!$G:$G,Debit!$B:$B,Lists!$A$2,Debit!$E:$E,Lists!$B$7,Debit!$C:$C,Lists!$E$3,Debit!$A:$A,"&gt;="&amp;Lists!$D$6,Debit!$A:$A,"&lt;"&amp;EDATE(Lists!$D$6,1))</f>
        <v>64865.65</v>
      </c>
      <c r="F93" s="92">
        <f t="shared" si="1"/>
        <v>523631.15</v>
      </c>
    </row>
    <row r="94" ht="15.75" customHeight="1">
      <c r="A94" s="9" t="s">
        <v>46</v>
      </c>
      <c r="B94" s="9" t="str">
        <f>Lists!$A$2</f>
        <v>Fibre Unit</v>
      </c>
      <c r="C94" s="9" t="str">
        <f>Lists!$B$8</f>
        <v>Union Bank - Current</v>
      </c>
      <c r="D94" s="92">
        <f>SUMIFS(Debit!$G:$G,Debit!$B:$B,Lists!$A$2,Debit!$E:$E,Lists!$B$8,Debit!$C:$C,Lists!$E$2,Debit!$A:$A,"&gt;="&amp;Lists!$D$6,Debit!$A:$A,"&lt;"&amp;EDATE(Lists!$D$6,1))</f>
        <v>19666</v>
      </c>
      <c r="E94" s="92">
        <f>SUMIFS(Debit!$G:$G,Debit!$B:$B,Lists!$A$2,Debit!$E:$E,Lists!$B$8,Debit!$C:$C,Lists!$E$3,Debit!$A:$A,"&gt;="&amp;Lists!$D$6,Debit!$A:$A,"&lt;"&amp;EDATE(Lists!$D$6,1))</f>
        <v>93696.11</v>
      </c>
      <c r="F94" s="92">
        <f t="shared" si="1"/>
        <v>113362.11</v>
      </c>
    </row>
    <row r="95" ht="15.75" customHeight="1">
      <c r="A95" s="9" t="s">
        <v>46</v>
      </c>
      <c r="B95" s="9" t="str">
        <f>Lists!$A$3</f>
        <v>Chips Unit</v>
      </c>
      <c r="C95" s="9" t="str">
        <f>Lists!$B$2</f>
        <v>Shareholder - Jagadeesan</v>
      </c>
      <c r="D95" s="92">
        <f>SUMIFS(Debit!$G:$G,Debit!$B:$B,Lists!$A$3,Debit!$E:$E,Lists!$B$2,Debit!$C:$C,Lists!$E$2,Debit!$A:$A,"&gt;="&amp;Lists!$D$6,Debit!$A:$A,"&lt;"&amp;EDATE(Lists!$D$6,1))</f>
        <v>2575.54</v>
      </c>
      <c r="E95" s="92">
        <f>SUMIFS(Debit!$G:$G,Debit!$B:$B,Lists!$A$3,Debit!$E:$E,Lists!$B$2,Debit!$C:$C,Lists!$E$3,Debit!$A:$A,"&gt;="&amp;Lists!$D$6,Debit!$A:$A,"&lt;"&amp;EDATE(Lists!$D$6,1))</f>
        <v>30015</v>
      </c>
      <c r="F95" s="92">
        <f t="shared" si="1"/>
        <v>32590.54</v>
      </c>
    </row>
    <row r="96" ht="15.75" customHeight="1">
      <c r="A96" s="9" t="s">
        <v>46</v>
      </c>
      <c r="B96" s="9" t="str">
        <f>Lists!$A$3</f>
        <v>Chips Unit</v>
      </c>
      <c r="C96" s="9" t="str">
        <f>Lists!$B$3</f>
        <v>Shareholder - Jagadeshwaran</v>
      </c>
      <c r="D96" s="92">
        <f>SUMIFS(Debit!$G:$G,Debit!$B:$B,Lists!$A$3,Debit!$E:$E,Lists!$B$3,Debit!$C:$C,Lists!$E$2,Debit!$A:$A,"&gt;="&amp;Lists!$D$6,Debit!$A:$A,"&lt;"&amp;EDATE(Lists!$D$6,1))</f>
        <v>15635</v>
      </c>
      <c r="E96" s="92">
        <f>SUMIFS(Debit!$G:$G,Debit!$B:$B,Lists!$A$3,Debit!$E:$E,Lists!$B$3,Debit!$C:$C,Lists!$E$3,Debit!$A:$A,"&gt;="&amp;Lists!$D$6,Debit!$A:$A,"&lt;"&amp;EDATE(Lists!$D$6,1))</f>
        <v>0</v>
      </c>
      <c r="F96" s="92">
        <f t="shared" si="1"/>
        <v>15635</v>
      </c>
    </row>
    <row r="97" ht="15.75" customHeight="1">
      <c r="A97" s="9" t="s">
        <v>46</v>
      </c>
      <c r="B97" s="9" t="str">
        <f>Lists!$A$3</f>
        <v>Chips Unit</v>
      </c>
      <c r="C97" s="9" t="str">
        <f>Lists!$B$4</f>
        <v>Shareholder - Vellingiri</v>
      </c>
      <c r="D97" s="92">
        <f>SUMIFS(Debit!$G:$G,Debit!$B:$B,Lists!$A$3,Debit!$E:$E,Lists!$B$4,Debit!$C:$C,Lists!$E$2,Debit!$A:$A,"&gt;="&amp;Lists!$D$6,Debit!$A:$A,"&lt;"&amp;EDATE(Lists!$D$6,1))</f>
        <v>4186</v>
      </c>
      <c r="E97" s="92">
        <f>SUMIFS(Debit!$G:$G,Debit!$B:$B,Lists!$A$3,Debit!$E:$E,Lists!$B$4,Debit!$C:$C,Lists!$E$3,Debit!$A:$A,"&gt;="&amp;Lists!$D$6,Debit!$A:$A,"&lt;"&amp;EDATE(Lists!$D$6,1))</f>
        <v>0</v>
      </c>
      <c r="F97" s="92">
        <f t="shared" si="1"/>
        <v>4186</v>
      </c>
    </row>
    <row r="98" ht="15.75" customHeight="1">
      <c r="A98" s="9" t="s">
        <v>46</v>
      </c>
      <c r="B98" s="9" t="str">
        <f>Lists!$A$3</f>
        <v>Chips Unit</v>
      </c>
      <c r="C98" s="9" t="str">
        <f>Lists!$B$5</f>
        <v>Vikas</v>
      </c>
      <c r="D98" s="92">
        <f>SUMIFS(Debit!$G:$G,Debit!$B:$B,Lists!$A$3,Debit!$E:$E,Lists!$B$5,Debit!$C:$C,Lists!$E$2,Debit!$A:$A,"&gt;="&amp;Lists!$D$6,Debit!$A:$A,"&lt;"&amp;EDATE(Lists!$D$6,1))</f>
        <v>0</v>
      </c>
      <c r="E98" s="92">
        <f>SUMIFS(Debit!$G:$G,Debit!$B:$B,Lists!$A$3,Debit!$E:$E,Lists!$B$5,Debit!$C:$C,Lists!$E$3,Debit!$A:$A,"&gt;="&amp;Lists!$D$6,Debit!$A:$A,"&lt;"&amp;EDATE(Lists!$D$6,1))</f>
        <v>0</v>
      </c>
      <c r="F98" s="92">
        <f t="shared" si="1"/>
        <v>0</v>
      </c>
    </row>
    <row r="99" ht="15.75" customHeight="1">
      <c r="A99" s="9" t="s">
        <v>46</v>
      </c>
      <c r="B99" s="9" t="str">
        <f>Lists!$A$3</f>
        <v>Chips Unit</v>
      </c>
      <c r="C99" s="9" t="str">
        <f>Lists!$B$6</f>
        <v>Payable to Alam</v>
      </c>
      <c r="D99" s="92">
        <f>SUMIFS(Debit!$G:$G,Debit!$B:$B,Lists!$A$3,Debit!$E:$E,Lists!$B$6,Debit!$C:$C,Lists!$E$2,Debit!$A:$A,"&gt;="&amp;Lists!$D$6,Debit!$A:$A,"&lt;"&amp;EDATE(Lists!$D$6,1))</f>
        <v>28137</v>
      </c>
      <c r="E99" s="92">
        <f>SUMIFS(Debit!$G:$G,Debit!$B:$B,Lists!$A$3,Debit!$E:$E,Lists!$B$6,Debit!$C:$C,Lists!$E$3,Debit!$A:$A,"&gt;="&amp;Lists!$D$6,Debit!$A:$A,"&lt;"&amp;EDATE(Lists!$D$6,1))</f>
        <v>0</v>
      </c>
      <c r="F99" s="92">
        <f t="shared" si="1"/>
        <v>28137</v>
      </c>
    </row>
    <row r="100" ht="15.75" customHeight="1">
      <c r="A100" s="9" t="s">
        <v>46</v>
      </c>
      <c r="B100" s="9" t="str">
        <f>Lists!$A$3</f>
        <v>Chips Unit</v>
      </c>
      <c r="C100" s="9" t="str">
        <f>Lists!$B$7</f>
        <v>Union Bank - CC</v>
      </c>
      <c r="D100" s="92">
        <f>SUMIFS(Debit!$G:$G,Debit!$B:$B,Lists!$A$3,Debit!$E:$E,Lists!$B$7,Debit!$C:$C,Lists!$E$2,Debit!$A:$A,"&gt;="&amp;Lists!$D$6,Debit!$A:$A,"&lt;"&amp;EDATE(Lists!$D$6,1))</f>
        <v>77.31</v>
      </c>
      <c r="E100" s="92">
        <f>SUMIFS(Debit!$G:$G,Debit!$B:$B,Lists!$A$3,Debit!$E:$E,Lists!$B$7,Debit!$C:$C,Lists!$E$3,Debit!$A:$A,"&gt;="&amp;Lists!$D$6,Debit!$A:$A,"&lt;"&amp;EDATE(Lists!$D$6,1))</f>
        <v>395763.99</v>
      </c>
      <c r="F100" s="92">
        <f t="shared" si="1"/>
        <v>395841.3</v>
      </c>
    </row>
    <row r="101" ht="15.75" customHeight="1">
      <c r="A101" s="9" t="s">
        <v>46</v>
      </c>
      <c r="B101" s="9" t="str">
        <f>Lists!$A$3</f>
        <v>Chips Unit</v>
      </c>
      <c r="C101" s="9" t="str">
        <f>Lists!$B$8</f>
        <v>Union Bank - Current</v>
      </c>
      <c r="D101" s="92">
        <f>SUMIFS(Debit!$G:$G,Debit!$B:$B,Lists!$A$3,Debit!$E:$E,Lists!$B$8,Debit!$C:$C,Lists!$E$2,Debit!$A:$A,"&gt;="&amp;Lists!$D$6,Debit!$A:$A,"&lt;"&amp;EDATE(Lists!$D$6,1))</f>
        <v>8434.61</v>
      </c>
      <c r="E101" s="92">
        <f>SUMIFS(Debit!$G:$G,Debit!$B:$B,Lists!$A$3,Debit!$E:$E,Lists!$B$8,Debit!$C:$C,Lists!$E$3,Debit!$A:$A,"&gt;="&amp;Lists!$D$6,Debit!$A:$A,"&lt;"&amp;EDATE(Lists!$D$6,1))</f>
        <v>28800.02</v>
      </c>
      <c r="F101" s="92">
        <f t="shared" si="1"/>
        <v>37234.63</v>
      </c>
    </row>
    <row r="102" ht="15.75" customHeight="1">
      <c r="A102" s="9" t="s">
        <v>46</v>
      </c>
      <c r="B102" s="9" t="str">
        <f>Lists!$A$4</f>
        <v>Washing Unit</v>
      </c>
      <c r="C102" s="9" t="str">
        <f>Lists!$B$2</f>
        <v>Shareholder - Jagadeesan</v>
      </c>
      <c r="D102" s="92">
        <f>SUMIFS(Debit!$G:$G,Debit!$B:$B,Lists!$A$4,Debit!$E:$E,Lists!$B$2,Debit!$C:$C,Lists!$E$2,Debit!$A:$A,"&gt;="&amp;Lists!$D$6,Debit!$A:$A,"&lt;"&amp;EDATE(Lists!$D$6,1))</f>
        <v>6290</v>
      </c>
      <c r="E102" s="92">
        <f>SUMIFS(Debit!$G:$G,Debit!$B:$B,Lists!$A$4,Debit!$E:$E,Lists!$B$2,Debit!$C:$C,Lists!$E$3,Debit!$A:$A,"&gt;="&amp;Lists!$D$6,Debit!$A:$A,"&lt;"&amp;EDATE(Lists!$D$6,1))</f>
        <v>0</v>
      </c>
      <c r="F102" s="92">
        <f t="shared" si="1"/>
        <v>6290</v>
      </c>
    </row>
    <row r="103" ht="15.75" customHeight="1">
      <c r="A103" s="9" t="s">
        <v>46</v>
      </c>
      <c r="B103" s="9" t="str">
        <f>Lists!$A$4</f>
        <v>Washing Unit</v>
      </c>
      <c r="C103" s="9" t="str">
        <f>Lists!$B$3</f>
        <v>Shareholder - Jagadeshwaran</v>
      </c>
      <c r="D103" s="92">
        <f>SUMIFS(Debit!$G:$G,Debit!$B:$B,Lists!$A$4,Debit!$E:$E,Lists!$B$3,Debit!$C:$C,Lists!$E$2,Debit!$A:$A,"&gt;="&amp;Lists!$D$6,Debit!$A:$A,"&lt;"&amp;EDATE(Lists!$D$6,1))</f>
        <v>0</v>
      </c>
      <c r="E103" s="92">
        <f>SUMIFS(Debit!$G:$G,Debit!$B:$B,Lists!$A$4,Debit!$E:$E,Lists!$B$3,Debit!$C:$C,Lists!$E$3,Debit!$A:$A,"&gt;="&amp;Lists!$D$6,Debit!$A:$A,"&lt;"&amp;EDATE(Lists!$D$6,1))</f>
        <v>0</v>
      </c>
      <c r="F103" s="92">
        <f t="shared" si="1"/>
        <v>0</v>
      </c>
    </row>
    <row r="104" ht="15.75" customHeight="1">
      <c r="A104" s="9" t="s">
        <v>46</v>
      </c>
      <c r="B104" s="9" t="str">
        <f>Lists!$A$4</f>
        <v>Washing Unit</v>
      </c>
      <c r="C104" s="9" t="str">
        <f>Lists!$B$4</f>
        <v>Shareholder - Vellingiri</v>
      </c>
      <c r="D104" s="92">
        <f>SUMIFS(Debit!$G:$G,Debit!$B:$B,Lists!$A$4,Debit!$E:$E,Lists!$B$4,Debit!$C:$C,Lists!$E$2,Debit!$A:$A,"&gt;="&amp;Lists!$D$6,Debit!$A:$A,"&lt;"&amp;EDATE(Lists!$D$6,1))</f>
        <v>826490</v>
      </c>
      <c r="E104" s="92">
        <f>SUMIFS(Debit!$G:$G,Debit!$B:$B,Lists!$A$4,Debit!$E:$E,Lists!$B$4,Debit!$C:$C,Lists!$E$3,Debit!$A:$A,"&gt;="&amp;Lists!$D$6,Debit!$A:$A,"&lt;"&amp;EDATE(Lists!$D$6,1))</f>
        <v>0</v>
      </c>
      <c r="F104" s="92">
        <f t="shared" si="1"/>
        <v>826490</v>
      </c>
    </row>
    <row r="105" ht="15.75" customHeight="1">
      <c r="A105" s="9" t="s">
        <v>46</v>
      </c>
      <c r="B105" s="9" t="str">
        <f>Lists!$A$4</f>
        <v>Washing Unit</v>
      </c>
      <c r="C105" s="9" t="str">
        <f>Lists!$B$5</f>
        <v>Vikas</v>
      </c>
      <c r="D105" s="92">
        <f>SUMIFS(Debit!$G:$G,Debit!$B:$B,Lists!$A$4,Debit!$E:$E,Lists!$B$5,Debit!$C:$C,Lists!$E$2,Debit!$A:$A,"&gt;="&amp;Lists!$D$6,Debit!$A:$A,"&lt;"&amp;EDATE(Lists!$D$6,1))</f>
        <v>0</v>
      </c>
      <c r="E105" s="92">
        <f>SUMIFS(Debit!$G:$G,Debit!$B:$B,Lists!$A$4,Debit!$E:$E,Lists!$B$5,Debit!$C:$C,Lists!$E$3,Debit!$A:$A,"&gt;="&amp;Lists!$D$6,Debit!$A:$A,"&lt;"&amp;EDATE(Lists!$D$6,1))</f>
        <v>0</v>
      </c>
      <c r="F105" s="92">
        <f t="shared" si="1"/>
        <v>0</v>
      </c>
    </row>
    <row r="106" ht="15.75" customHeight="1">
      <c r="A106" s="9" t="s">
        <v>46</v>
      </c>
      <c r="B106" s="9" t="str">
        <f>Lists!$A$4</f>
        <v>Washing Unit</v>
      </c>
      <c r="C106" s="9" t="str">
        <f>Lists!$B$6</f>
        <v>Payable to Alam</v>
      </c>
      <c r="D106" s="92">
        <f>SUMIFS(Debit!$G:$G,Debit!$B:$B,Lists!$A$4,Debit!$E:$E,Lists!$B$6,Debit!$C:$C,Lists!$E$2,Debit!$A:$A,"&gt;="&amp;Lists!$D$6,Debit!$A:$A,"&lt;"&amp;EDATE(Lists!$D$6,1))</f>
        <v>12927</v>
      </c>
      <c r="E106" s="92">
        <f>SUMIFS(Debit!$G:$G,Debit!$B:$B,Lists!$A$4,Debit!$E:$E,Lists!$B$6,Debit!$C:$C,Lists!$E$3,Debit!$A:$A,"&gt;="&amp;Lists!$D$6,Debit!$A:$A,"&lt;"&amp;EDATE(Lists!$D$6,1))</f>
        <v>0</v>
      </c>
      <c r="F106" s="92">
        <f t="shared" si="1"/>
        <v>12927</v>
      </c>
    </row>
    <row r="107" ht="15.75" customHeight="1">
      <c r="A107" s="9" t="s">
        <v>46</v>
      </c>
      <c r="B107" s="9" t="str">
        <f>Lists!$A$4</f>
        <v>Washing Unit</v>
      </c>
      <c r="C107" s="9" t="str">
        <f>Lists!$B$7</f>
        <v>Union Bank - CC</v>
      </c>
      <c r="D107" s="92">
        <f>SUMIFS(Debit!$G:$G,Debit!$B:$B,Lists!$A$4,Debit!$E:$E,Lists!$B$7,Debit!$C:$C,Lists!$E$2,Debit!$A:$A,"&gt;="&amp;Lists!$D$6,Debit!$A:$A,"&lt;"&amp;EDATE(Lists!$D$6,1))</f>
        <v>529581.58</v>
      </c>
      <c r="E107" s="92">
        <f>SUMIFS(Debit!$G:$G,Debit!$B:$B,Lists!$A$4,Debit!$E:$E,Lists!$B$7,Debit!$C:$C,Lists!$E$3,Debit!$A:$A,"&gt;="&amp;Lists!$D$6,Debit!$A:$A,"&lt;"&amp;EDATE(Lists!$D$6,1))</f>
        <v>0</v>
      </c>
      <c r="F107" s="92">
        <f t="shared" si="1"/>
        <v>529581.58</v>
      </c>
    </row>
    <row r="108" ht="15.75" customHeight="1">
      <c r="A108" s="9" t="s">
        <v>46</v>
      </c>
      <c r="B108" s="9" t="str">
        <f>Lists!$A$4</f>
        <v>Washing Unit</v>
      </c>
      <c r="C108" s="9" t="str">
        <f>Lists!$B$8</f>
        <v>Union Bank - Current</v>
      </c>
      <c r="D108" s="92">
        <f>SUMIFS(Debit!$G:$G,Debit!$B:$B,Lists!$A$4,Debit!$E:$E,Lists!$B$8,Debit!$C:$C,Lists!$E$2,Debit!$A:$A,"&gt;="&amp;Lists!$D$6,Debit!$A:$A,"&lt;"&amp;EDATE(Lists!$D$6,1))</f>
        <v>0</v>
      </c>
      <c r="E108" s="92">
        <f>SUMIFS(Debit!$G:$G,Debit!$B:$B,Lists!$A$4,Debit!$E:$E,Lists!$B$8,Debit!$C:$C,Lists!$E$3,Debit!$A:$A,"&gt;="&amp;Lists!$D$6,Debit!$A:$A,"&lt;"&amp;EDATE(Lists!$D$6,1))</f>
        <v>0</v>
      </c>
      <c r="F108" s="92">
        <f t="shared" si="1"/>
        <v>0</v>
      </c>
    </row>
    <row r="109" ht="15.75" customHeight="1">
      <c r="A109" s="9" t="s">
        <v>50</v>
      </c>
      <c r="B109" s="9" t="str">
        <f>Lists!$A$2</f>
        <v>Fibre Unit</v>
      </c>
      <c r="C109" s="9" t="str">
        <f>Lists!$B$2</f>
        <v>Shareholder - Jagadeesan</v>
      </c>
      <c r="D109" s="92">
        <f>SUMIFS(Debit!$G:$G,Debit!$B:$B,Lists!$A$2,Debit!$E:$E,Lists!$B$2,Debit!$C:$C,Lists!$E$2,Debit!$A:$A,"&gt;="&amp;Lists!$D$7,Debit!$A:$A,"&lt;"&amp;EDATE(Lists!$D$7,1))</f>
        <v>0</v>
      </c>
      <c r="E109" s="92">
        <f>SUMIFS(Debit!$G:$G,Debit!$B:$B,Lists!$A$2,Debit!$E:$E,Lists!$B$2,Debit!$C:$C,Lists!$E$3,Debit!$A:$A,"&gt;="&amp;Lists!$D$7,Debit!$A:$A,"&lt;"&amp;EDATE(Lists!$D$7,1))</f>
        <v>0</v>
      </c>
      <c r="F109" s="92">
        <f t="shared" si="1"/>
        <v>0</v>
      </c>
    </row>
    <row r="110" ht="15.75" customHeight="1">
      <c r="A110" s="9" t="s">
        <v>50</v>
      </c>
      <c r="B110" s="9" t="str">
        <f>Lists!$A$2</f>
        <v>Fibre Unit</v>
      </c>
      <c r="C110" s="9" t="str">
        <f>Lists!$B$3</f>
        <v>Shareholder - Jagadeshwaran</v>
      </c>
      <c r="D110" s="92">
        <f>SUMIFS(Debit!$G:$G,Debit!$B:$B,Lists!$A$2,Debit!$E:$E,Lists!$B$3,Debit!$C:$C,Lists!$E$2,Debit!$A:$A,"&gt;="&amp;Lists!$D$7,Debit!$A:$A,"&lt;"&amp;EDATE(Lists!$D$7,1))</f>
        <v>0</v>
      </c>
      <c r="E110" s="92">
        <f>SUMIFS(Debit!$G:$G,Debit!$B:$B,Lists!$A$2,Debit!$E:$E,Lists!$B$3,Debit!$C:$C,Lists!$E$3,Debit!$A:$A,"&gt;="&amp;Lists!$D$7,Debit!$A:$A,"&lt;"&amp;EDATE(Lists!$D$7,1))</f>
        <v>0</v>
      </c>
      <c r="F110" s="92">
        <f t="shared" si="1"/>
        <v>0</v>
      </c>
    </row>
    <row r="111" ht="15.75" customHeight="1">
      <c r="A111" s="9" t="s">
        <v>50</v>
      </c>
      <c r="B111" s="9" t="str">
        <f>Lists!$A$2</f>
        <v>Fibre Unit</v>
      </c>
      <c r="C111" s="9" t="str">
        <f>Lists!$B$4</f>
        <v>Shareholder - Vellingiri</v>
      </c>
      <c r="D111" s="92">
        <f>SUMIFS(Debit!$G:$G,Debit!$B:$B,Lists!$A$2,Debit!$E:$E,Lists!$B$4,Debit!$C:$C,Lists!$E$2,Debit!$A:$A,"&gt;="&amp;Lists!$D$7,Debit!$A:$A,"&lt;"&amp;EDATE(Lists!$D$7,1))</f>
        <v>0</v>
      </c>
      <c r="E111" s="92">
        <f>SUMIFS(Debit!$G:$G,Debit!$B:$B,Lists!$A$2,Debit!$E:$E,Lists!$B$4,Debit!$C:$C,Lists!$E$3,Debit!$A:$A,"&gt;="&amp;Lists!$D$7,Debit!$A:$A,"&lt;"&amp;EDATE(Lists!$D$7,1))</f>
        <v>0</v>
      </c>
      <c r="F111" s="92">
        <f t="shared" si="1"/>
        <v>0</v>
      </c>
    </row>
    <row r="112" ht="15.75" customHeight="1">
      <c r="A112" s="9" t="s">
        <v>50</v>
      </c>
      <c r="B112" s="9" t="str">
        <f>Lists!$A$2</f>
        <v>Fibre Unit</v>
      </c>
      <c r="C112" s="9" t="str">
        <f>Lists!$B$5</f>
        <v>Vikas</v>
      </c>
      <c r="D112" s="92">
        <f>SUMIFS(Debit!$G:$G,Debit!$B:$B,Lists!$A$2,Debit!$E:$E,Lists!$B$5,Debit!$C:$C,Lists!$E$2,Debit!$A:$A,"&gt;="&amp;Lists!$D$7,Debit!$A:$A,"&lt;"&amp;EDATE(Lists!$D$7,1))</f>
        <v>0</v>
      </c>
      <c r="E112" s="92">
        <f>SUMIFS(Debit!$G:$G,Debit!$B:$B,Lists!$A$2,Debit!$E:$E,Lists!$B$5,Debit!$C:$C,Lists!$E$3,Debit!$A:$A,"&gt;="&amp;Lists!$D$7,Debit!$A:$A,"&lt;"&amp;EDATE(Lists!$D$7,1))</f>
        <v>0</v>
      </c>
      <c r="F112" s="92">
        <f t="shared" si="1"/>
        <v>0</v>
      </c>
    </row>
    <row r="113" ht="15.75" customHeight="1">
      <c r="A113" s="9" t="s">
        <v>50</v>
      </c>
      <c r="B113" s="9" t="str">
        <f>Lists!$A$2</f>
        <v>Fibre Unit</v>
      </c>
      <c r="C113" s="9" t="str">
        <f>Lists!$B$6</f>
        <v>Payable to Alam</v>
      </c>
      <c r="D113" s="92">
        <f>SUMIFS(Debit!$G:$G,Debit!$B:$B,Lists!$A$2,Debit!$E:$E,Lists!$B$6,Debit!$C:$C,Lists!$E$2,Debit!$A:$A,"&gt;="&amp;Lists!$D$7,Debit!$A:$A,"&lt;"&amp;EDATE(Lists!$D$7,1))</f>
        <v>0</v>
      </c>
      <c r="E113" s="92">
        <f>SUMIFS(Debit!$G:$G,Debit!$B:$B,Lists!$A$2,Debit!$E:$E,Lists!$B$6,Debit!$C:$C,Lists!$E$3,Debit!$A:$A,"&gt;="&amp;Lists!$D$7,Debit!$A:$A,"&lt;"&amp;EDATE(Lists!$D$7,1))</f>
        <v>0</v>
      </c>
      <c r="F113" s="92">
        <f t="shared" si="1"/>
        <v>0</v>
      </c>
    </row>
    <row r="114" ht="15.75" customHeight="1">
      <c r="A114" s="9" t="s">
        <v>50</v>
      </c>
      <c r="B114" s="9" t="str">
        <f>Lists!$A$2</f>
        <v>Fibre Unit</v>
      </c>
      <c r="C114" s="9" t="str">
        <f>Lists!$B$7</f>
        <v>Union Bank - CC</v>
      </c>
      <c r="D114" s="92">
        <f>SUMIFS(Debit!$G:$G,Debit!$B:$B,Lists!$A$2,Debit!$E:$E,Lists!$B$7,Debit!$C:$C,Lists!$E$2,Debit!$A:$A,"&gt;="&amp;Lists!$D$7,Debit!$A:$A,"&lt;"&amp;EDATE(Lists!$D$7,1))</f>
        <v>0</v>
      </c>
      <c r="E114" s="92">
        <f>SUMIFS(Debit!$G:$G,Debit!$B:$B,Lists!$A$2,Debit!$E:$E,Lists!$B$7,Debit!$C:$C,Lists!$E$3,Debit!$A:$A,"&gt;="&amp;Lists!$D$7,Debit!$A:$A,"&lt;"&amp;EDATE(Lists!$D$7,1))</f>
        <v>0</v>
      </c>
      <c r="F114" s="92">
        <f t="shared" si="1"/>
        <v>0</v>
      </c>
    </row>
    <row r="115" ht="15.75" customHeight="1">
      <c r="A115" s="9" t="s">
        <v>50</v>
      </c>
      <c r="B115" s="9" t="str">
        <f>Lists!$A$2</f>
        <v>Fibre Unit</v>
      </c>
      <c r="C115" s="9" t="str">
        <f>Lists!$B$8</f>
        <v>Union Bank - Current</v>
      </c>
      <c r="D115" s="92">
        <f>SUMIFS(Debit!$G:$G,Debit!$B:$B,Lists!$A$2,Debit!$E:$E,Lists!$B$8,Debit!$C:$C,Lists!$E$2,Debit!$A:$A,"&gt;="&amp;Lists!$D$7,Debit!$A:$A,"&lt;"&amp;EDATE(Lists!$D$7,1))</f>
        <v>0</v>
      </c>
      <c r="E115" s="92">
        <f>SUMIFS(Debit!$G:$G,Debit!$B:$B,Lists!$A$2,Debit!$E:$E,Lists!$B$8,Debit!$C:$C,Lists!$E$3,Debit!$A:$A,"&gt;="&amp;Lists!$D$7,Debit!$A:$A,"&lt;"&amp;EDATE(Lists!$D$7,1))</f>
        <v>0</v>
      </c>
      <c r="F115" s="92">
        <f t="shared" si="1"/>
        <v>0</v>
      </c>
    </row>
    <row r="116" ht="15.75" customHeight="1">
      <c r="A116" s="9" t="s">
        <v>50</v>
      </c>
      <c r="B116" s="9" t="str">
        <f>Lists!$A$3</f>
        <v>Chips Unit</v>
      </c>
      <c r="C116" s="9" t="str">
        <f>Lists!$B$2</f>
        <v>Shareholder - Jagadeesan</v>
      </c>
      <c r="D116" s="92">
        <f>SUMIFS(Debit!$G:$G,Debit!$B:$B,Lists!$A$3,Debit!$E:$E,Lists!$B$2,Debit!$C:$C,Lists!$E$2,Debit!$A:$A,"&gt;="&amp;Lists!$D$7,Debit!$A:$A,"&lt;"&amp;EDATE(Lists!$D$7,1))</f>
        <v>0</v>
      </c>
      <c r="E116" s="92">
        <f>SUMIFS(Debit!$G:$G,Debit!$B:$B,Lists!$A$3,Debit!$E:$E,Lists!$B$2,Debit!$C:$C,Lists!$E$3,Debit!$A:$A,"&gt;="&amp;Lists!$D$7,Debit!$A:$A,"&lt;"&amp;EDATE(Lists!$D$7,1))</f>
        <v>0</v>
      </c>
      <c r="F116" s="92">
        <f t="shared" si="1"/>
        <v>0</v>
      </c>
    </row>
    <row r="117" ht="15.75" customHeight="1">
      <c r="A117" s="9" t="s">
        <v>50</v>
      </c>
      <c r="B117" s="9" t="str">
        <f>Lists!$A$3</f>
        <v>Chips Unit</v>
      </c>
      <c r="C117" s="9" t="str">
        <f>Lists!$B$3</f>
        <v>Shareholder - Jagadeshwaran</v>
      </c>
      <c r="D117" s="92">
        <f>SUMIFS(Debit!$G:$G,Debit!$B:$B,Lists!$A$3,Debit!$E:$E,Lists!$B$3,Debit!$C:$C,Lists!$E$2,Debit!$A:$A,"&gt;="&amp;Lists!$D$7,Debit!$A:$A,"&lt;"&amp;EDATE(Lists!$D$7,1))</f>
        <v>0</v>
      </c>
      <c r="E117" s="92">
        <f>SUMIFS(Debit!$G:$G,Debit!$B:$B,Lists!$A$3,Debit!$E:$E,Lists!$B$3,Debit!$C:$C,Lists!$E$3,Debit!$A:$A,"&gt;="&amp;Lists!$D$7,Debit!$A:$A,"&lt;"&amp;EDATE(Lists!$D$7,1))</f>
        <v>0</v>
      </c>
      <c r="F117" s="92">
        <f t="shared" si="1"/>
        <v>0</v>
      </c>
    </row>
    <row r="118" ht="15.75" customHeight="1">
      <c r="A118" s="9" t="s">
        <v>50</v>
      </c>
      <c r="B118" s="9" t="str">
        <f>Lists!$A$3</f>
        <v>Chips Unit</v>
      </c>
      <c r="C118" s="9" t="str">
        <f>Lists!$B$4</f>
        <v>Shareholder - Vellingiri</v>
      </c>
      <c r="D118" s="92">
        <f>SUMIFS(Debit!$G:$G,Debit!$B:$B,Lists!$A$3,Debit!$E:$E,Lists!$B$4,Debit!$C:$C,Lists!$E$2,Debit!$A:$A,"&gt;="&amp;Lists!$D$7,Debit!$A:$A,"&lt;"&amp;EDATE(Lists!$D$7,1))</f>
        <v>0</v>
      </c>
      <c r="E118" s="92">
        <f>SUMIFS(Debit!$G:$G,Debit!$B:$B,Lists!$A$3,Debit!$E:$E,Lists!$B$4,Debit!$C:$C,Lists!$E$3,Debit!$A:$A,"&gt;="&amp;Lists!$D$7,Debit!$A:$A,"&lt;"&amp;EDATE(Lists!$D$7,1))</f>
        <v>0</v>
      </c>
      <c r="F118" s="92">
        <f t="shared" si="1"/>
        <v>0</v>
      </c>
    </row>
    <row r="119" ht="15.75" customHeight="1">
      <c r="A119" s="9" t="s">
        <v>50</v>
      </c>
      <c r="B119" s="9" t="str">
        <f>Lists!$A$3</f>
        <v>Chips Unit</v>
      </c>
      <c r="C119" s="9" t="str">
        <f>Lists!$B$5</f>
        <v>Vikas</v>
      </c>
      <c r="D119" s="92">
        <f>SUMIFS(Debit!$G:$G,Debit!$B:$B,Lists!$A$3,Debit!$E:$E,Lists!$B$5,Debit!$C:$C,Lists!$E$2,Debit!$A:$A,"&gt;="&amp;Lists!$D$7,Debit!$A:$A,"&lt;"&amp;EDATE(Lists!$D$7,1))</f>
        <v>0</v>
      </c>
      <c r="E119" s="92">
        <f>SUMIFS(Debit!$G:$G,Debit!$B:$B,Lists!$A$3,Debit!$E:$E,Lists!$B$5,Debit!$C:$C,Lists!$E$3,Debit!$A:$A,"&gt;="&amp;Lists!$D$7,Debit!$A:$A,"&lt;"&amp;EDATE(Lists!$D$7,1))</f>
        <v>0</v>
      </c>
      <c r="F119" s="92">
        <f t="shared" si="1"/>
        <v>0</v>
      </c>
    </row>
    <row r="120" ht="15.75" customHeight="1">
      <c r="A120" s="9" t="s">
        <v>50</v>
      </c>
      <c r="B120" s="9" t="str">
        <f>Lists!$A$3</f>
        <v>Chips Unit</v>
      </c>
      <c r="C120" s="9" t="str">
        <f>Lists!$B$6</f>
        <v>Payable to Alam</v>
      </c>
      <c r="D120" s="92">
        <f>SUMIFS(Debit!$G:$G,Debit!$B:$B,Lists!$A$3,Debit!$E:$E,Lists!$B$6,Debit!$C:$C,Lists!$E$2,Debit!$A:$A,"&gt;="&amp;Lists!$D$7,Debit!$A:$A,"&lt;"&amp;EDATE(Lists!$D$7,1))</f>
        <v>0</v>
      </c>
      <c r="E120" s="92">
        <f>SUMIFS(Debit!$G:$G,Debit!$B:$B,Lists!$A$3,Debit!$E:$E,Lists!$B$6,Debit!$C:$C,Lists!$E$3,Debit!$A:$A,"&gt;="&amp;Lists!$D$7,Debit!$A:$A,"&lt;"&amp;EDATE(Lists!$D$7,1))</f>
        <v>0</v>
      </c>
      <c r="F120" s="92">
        <f t="shared" si="1"/>
        <v>0</v>
      </c>
    </row>
    <row r="121" ht="15.75" customHeight="1">
      <c r="A121" s="9" t="s">
        <v>50</v>
      </c>
      <c r="B121" s="9" t="str">
        <f>Lists!$A$3</f>
        <v>Chips Unit</v>
      </c>
      <c r="C121" s="9" t="str">
        <f>Lists!$B$7</f>
        <v>Union Bank - CC</v>
      </c>
      <c r="D121" s="92">
        <f>SUMIFS(Debit!$G:$G,Debit!$B:$B,Lists!$A$3,Debit!$E:$E,Lists!$B$7,Debit!$C:$C,Lists!$E$2,Debit!$A:$A,"&gt;="&amp;Lists!$D$7,Debit!$A:$A,"&lt;"&amp;EDATE(Lists!$D$7,1))</f>
        <v>0</v>
      </c>
      <c r="E121" s="92">
        <f>SUMIFS(Debit!$G:$G,Debit!$B:$B,Lists!$A$3,Debit!$E:$E,Lists!$B$7,Debit!$C:$C,Lists!$E$3,Debit!$A:$A,"&gt;="&amp;Lists!$D$7,Debit!$A:$A,"&lt;"&amp;EDATE(Lists!$D$7,1))</f>
        <v>0</v>
      </c>
      <c r="F121" s="92">
        <f t="shared" si="1"/>
        <v>0</v>
      </c>
    </row>
    <row r="122" ht="15.75" customHeight="1">
      <c r="A122" s="9" t="s">
        <v>50</v>
      </c>
      <c r="B122" s="9" t="str">
        <f>Lists!$A$3</f>
        <v>Chips Unit</v>
      </c>
      <c r="C122" s="9" t="str">
        <f>Lists!$B$8</f>
        <v>Union Bank - Current</v>
      </c>
      <c r="D122" s="92">
        <f>SUMIFS(Debit!$G:$G,Debit!$B:$B,Lists!$A$3,Debit!$E:$E,Lists!$B$8,Debit!$C:$C,Lists!$E$2,Debit!$A:$A,"&gt;="&amp;Lists!$D$7,Debit!$A:$A,"&lt;"&amp;EDATE(Lists!$D$7,1))</f>
        <v>0</v>
      </c>
      <c r="E122" s="92">
        <f>SUMIFS(Debit!$G:$G,Debit!$B:$B,Lists!$A$3,Debit!$E:$E,Lists!$B$8,Debit!$C:$C,Lists!$E$3,Debit!$A:$A,"&gt;="&amp;Lists!$D$7,Debit!$A:$A,"&lt;"&amp;EDATE(Lists!$D$7,1))</f>
        <v>0</v>
      </c>
      <c r="F122" s="92">
        <f t="shared" si="1"/>
        <v>0</v>
      </c>
    </row>
    <row r="123" ht="15.75" customHeight="1">
      <c r="A123" s="9" t="s">
        <v>50</v>
      </c>
      <c r="B123" s="9" t="str">
        <f>Lists!$A$4</f>
        <v>Washing Unit</v>
      </c>
      <c r="C123" s="9" t="str">
        <f>Lists!$B$2</f>
        <v>Shareholder - Jagadeesan</v>
      </c>
      <c r="D123" s="92">
        <f>SUMIFS(Debit!$G:$G,Debit!$B:$B,Lists!$A$4,Debit!$E:$E,Lists!$B$2,Debit!$C:$C,Lists!$E$2,Debit!$A:$A,"&gt;="&amp;Lists!$D$7,Debit!$A:$A,"&lt;"&amp;EDATE(Lists!$D$7,1))</f>
        <v>0</v>
      </c>
      <c r="E123" s="92">
        <f>SUMIFS(Debit!$G:$G,Debit!$B:$B,Lists!$A$4,Debit!$E:$E,Lists!$B$2,Debit!$C:$C,Lists!$E$3,Debit!$A:$A,"&gt;="&amp;Lists!$D$7,Debit!$A:$A,"&lt;"&amp;EDATE(Lists!$D$7,1))</f>
        <v>0</v>
      </c>
      <c r="F123" s="92">
        <f t="shared" si="1"/>
        <v>0</v>
      </c>
    </row>
    <row r="124" ht="15.75" customHeight="1">
      <c r="A124" s="9" t="s">
        <v>50</v>
      </c>
      <c r="B124" s="9" t="str">
        <f>Lists!$A$4</f>
        <v>Washing Unit</v>
      </c>
      <c r="C124" s="9" t="str">
        <f>Lists!$B$3</f>
        <v>Shareholder - Jagadeshwaran</v>
      </c>
      <c r="D124" s="92">
        <f>SUMIFS(Debit!$G:$G,Debit!$B:$B,Lists!$A$4,Debit!$E:$E,Lists!$B$3,Debit!$C:$C,Lists!$E$2,Debit!$A:$A,"&gt;="&amp;Lists!$D$7,Debit!$A:$A,"&lt;"&amp;EDATE(Lists!$D$7,1))</f>
        <v>0</v>
      </c>
      <c r="E124" s="92">
        <f>SUMIFS(Debit!$G:$G,Debit!$B:$B,Lists!$A$4,Debit!$E:$E,Lists!$B$3,Debit!$C:$C,Lists!$E$3,Debit!$A:$A,"&gt;="&amp;Lists!$D$7,Debit!$A:$A,"&lt;"&amp;EDATE(Lists!$D$7,1))</f>
        <v>0</v>
      </c>
      <c r="F124" s="92">
        <f t="shared" si="1"/>
        <v>0</v>
      </c>
    </row>
    <row r="125" ht="15.75" customHeight="1">
      <c r="A125" s="9" t="s">
        <v>50</v>
      </c>
      <c r="B125" s="9" t="str">
        <f>Lists!$A$4</f>
        <v>Washing Unit</v>
      </c>
      <c r="C125" s="9" t="str">
        <f>Lists!$B$4</f>
        <v>Shareholder - Vellingiri</v>
      </c>
      <c r="D125" s="92">
        <f>SUMIFS(Debit!$G:$G,Debit!$B:$B,Lists!$A$4,Debit!$E:$E,Lists!$B$4,Debit!$C:$C,Lists!$E$2,Debit!$A:$A,"&gt;="&amp;Lists!$D$7,Debit!$A:$A,"&lt;"&amp;EDATE(Lists!$D$7,1))</f>
        <v>0</v>
      </c>
      <c r="E125" s="92">
        <f>SUMIFS(Debit!$G:$G,Debit!$B:$B,Lists!$A$4,Debit!$E:$E,Lists!$B$4,Debit!$C:$C,Lists!$E$3,Debit!$A:$A,"&gt;="&amp;Lists!$D$7,Debit!$A:$A,"&lt;"&amp;EDATE(Lists!$D$7,1))</f>
        <v>0</v>
      </c>
      <c r="F125" s="92">
        <f t="shared" si="1"/>
        <v>0</v>
      </c>
    </row>
    <row r="126" ht="15.75" customHeight="1">
      <c r="A126" s="9" t="s">
        <v>50</v>
      </c>
      <c r="B126" s="9" t="str">
        <f>Lists!$A$4</f>
        <v>Washing Unit</v>
      </c>
      <c r="C126" s="9" t="str">
        <f>Lists!$B$5</f>
        <v>Vikas</v>
      </c>
      <c r="D126" s="92">
        <f>SUMIFS(Debit!$G:$G,Debit!$B:$B,Lists!$A$4,Debit!$E:$E,Lists!$B$5,Debit!$C:$C,Lists!$E$2,Debit!$A:$A,"&gt;="&amp;Lists!$D$7,Debit!$A:$A,"&lt;"&amp;EDATE(Lists!$D$7,1))</f>
        <v>0</v>
      </c>
      <c r="E126" s="92">
        <f>SUMIFS(Debit!$G:$G,Debit!$B:$B,Lists!$A$4,Debit!$E:$E,Lists!$B$5,Debit!$C:$C,Lists!$E$3,Debit!$A:$A,"&gt;="&amp;Lists!$D$7,Debit!$A:$A,"&lt;"&amp;EDATE(Lists!$D$7,1))</f>
        <v>0</v>
      </c>
      <c r="F126" s="92">
        <f t="shared" si="1"/>
        <v>0</v>
      </c>
    </row>
    <row r="127" ht="15.75" customHeight="1">
      <c r="A127" s="9" t="s">
        <v>50</v>
      </c>
      <c r="B127" s="9" t="str">
        <f>Lists!$A$4</f>
        <v>Washing Unit</v>
      </c>
      <c r="C127" s="9" t="str">
        <f>Lists!$B$6</f>
        <v>Payable to Alam</v>
      </c>
      <c r="D127" s="92">
        <f>SUMIFS(Debit!$G:$G,Debit!$B:$B,Lists!$A$4,Debit!$E:$E,Lists!$B$6,Debit!$C:$C,Lists!$E$2,Debit!$A:$A,"&gt;="&amp;Lists!$D$7,Debit!$A:$A,"&lt;"&amp;EDATE(Lists!$D$7,1))</f>
        <v>0</v>
      </c>
      <c r="E127" s="92">
        <f>SUMIFS(Debit!$G:$G,Debit!$B:$B,Lists!$A$4,Debit!$E:$E,Lists!$B$6,Debit!$C:$C,Lists!$E$3,Debit!$A:$A,"&gt;="&amp;Lists!$D$7,Debit!$A:$A,"&lt;"&amp;EDATE(Lists!$D$7,1))</f>
        <v>0</v>
      </c>
      <c r="F127" s="92">
        <f t="shared" si="1"/>
        <v>0</v>
      </c>
    </row>
    <row r="128" ht="15.75" customHeight="1">
      <c r="A128" s="9" t="s">
        <v>50</v>
      </c>
      <c r="B128" s="9" t="str">
        <f>Lists!$A$4</f>
        <v>Washing Unit</v>
      </c>
      <c r="C128" s="9" t="str">
        <f>Lists!$B$7</f>
        <v>Union Bank - CC</v>
      </c>
      <c r="D128" s="92">
        <f>SUMIFS(Debit!$G:$G,Debit!$B:$B,Lists!$A$4,Debit!$E:$E,Lists!$B$7,Debit!$C:$C,Lists!$E$2,Debit!$A:$A,"&gt;="&amp;Lists!$D$7,Debit!$A:$A,"&lt;"&amp;EDATE(Lists!$D$7,1))</f>
        <v>0</v>
      </c>
      <c r="E128" s="92">
        <f>SUMIFS(Debit!$G:$G,Debit!$B:$B,Lists!$A$4,Debit!$E:$E,Lists!$B$7,Debit!$C:$C,Lists!$E$3,Debit!$A:$A,"&gt;="&amp;Lists!$D$7,Debit!$A:$A,"&lt;"&amp;EDATE(Lists!$D$7,1))</f>
        <v>0</v>
      </c>
      <c r="F128" s="92">
        <f t="shared" si="1"/>
        <v>0</v>
      </c>
    </row>
    <row r="129" ht="15.75" customHeight="1">
      <c r="A129" s="9" t="s">
        <v>50</v>
      </c>
      <c r="B129" s="9" t="str">
        <f>Lists!$A$4</f>
        <v>Washing Unit</v>
      </c>
      <c r="C129" s="9" t="str">
        <f>Lists!$B$8</f>
        <v>Union Bank - Current</v>
      </c>
      <c r="D129" s="92">
        <f>SUMIFS(Debit!$G:$G,Debit!$B:$B,Lists!$A$4,Debit!$E:$E,Lists!$B$8,Debit!$C:$C,Lists!$E$2,Debit!$A:$A,"&gt;="&amp;Lists!$D$7,Debit!$A:$A,"&lt;"&amp;EDATE(Lists!$D$7,1))</f>
        <v>0</v>
      </c>
      <c r="E129" s="92">
        <f>SUMIFS(Debit!$G:$G,Debit!$B:$B,Lists!$A$4,Debit!$E:$E,Lists!$B$8,Debit!$C:$C,Lists!$E$3,Debit!$A:$A,"&gt;="&amp;Lists!$D$7,Debit!$A:$A,"&lt;"&amp;EDATE(Lists!$D$7,1))</f>
        <v>0</v>
      </c>
      <c r="F129" s="92">
        <f t="shared" si="1"/>
        <v>0</v>
      </c>
    </row>
    <row r="130" ht="15.75" customHeight="1">
      <c r="A130" s="9" t="s">
        <v>52</v>
      </c>
      <c r="B130" s="9" t="str">
        <f>Lists!$A$2</f>
        <v>Fibre Unit</v>
      </c>
      <c r="C130" s="9" t="str">
        <f>Lists!$B$2</f>
        <v>Shareholder - Jagadeesan</v>
      </c>
      <c r="D130" s="92">
        <f>SUMIFS(Debit!$G:$G,Debit!$B:$B,Lists!$A$2,Debit!$E:$E,Lists!$B$2,Debit!$C:$C,Lists!$E$2,Debit!$A:$A,"&gt;="&amp;Lists!$D$8,Debit!$A:$A,"&lt;"&amp;EDATE(Lists!$D$8,1))</f>
        <v>0</v>
      </c>
      <c r="E130" s="92">
        <f>SUMIFS(Debit!$G:$G,Debit!$B:$B,Lists!$A$2,Debit!$E:$E,Lists!$B$2,Debit!$C:$C,Lists!$E$3,Debit!$A:$A,"&gt;="&amp;Lists!$D$8,Debit!$A:$A,"&lt;"&amp;EDATE(Lists!$D$8,1))</f>
        <v>0</v>
      </c>
      <c r="F130" s="92">
        <f t="shared" si="1"/>
        <v>0</v>
      </c>
    </row>
    <row r="131" ht="15.75" customHeight="1">
      <c r="A131" s="9" t="s">
        <v>52</v>
      </c>
      <c r="B131" s="9" t="str">
        <f>Lists!$A$2</f>
        <v>Fibre Unit</v>
      </c>
      <c r="C131" s="9" t="str">
        <f>Lists!$B$3</f>
        <v>Shareholder - Jagadeshwaran</v>
      </c>
      <c r="D131" s="92">
        <f>SUMIFS(Debit!$G:$G,Debit!$B:$B,Lists!$A$2,Debit!$E:$E,Lists!$B$3,Debit!$C:$C,Lists!$E$2,Debit!$A:$A,"&gt;="&amp;Lists!$D$8,Debit!$A:$A,"&lt;"&amp;EDATE(Lists!$D$8,1))</f>
        <v>0</v>
      </c>
      <c r="E131" s="92">
        <f>SUMIFS(Debit!$G:$G,Debit!$B:$B,Lists!$A$2,Debit!$E:$E,Lists!$B$3,Debit!$C:$C,Lists!$E$3,Debit!$A:$A,"&gt;="&amp;Lists!$D$8,Debit!$A:$A,"&lt;"&amp;EDATE(Lists!$D$8,1))</f>
        <v>0</v>
      </c>
      <c r="F131" s="92">
        <f t="shared" si="1"/>
        <v>0</v>
      </c>
    </row>
    <row r="132" ht="15.75" customHeight="1">
      <c r="A132" s="9" t="s">
        <v>52</v>
      </c>
      <c r="B132" s="9" t="str">
        <f>Lists!$A$2</f>
        <v>Fibre Unit</v>
      </c>
      <c r="C132" s="9" t="str">
        <f>Lists!$B$4</f>
        <v>Shareholder - Vellingiri</v>
      </c>
      <c r="D132" s="92">
        <f>SUMIFS(Debit!$G:$G,Debit!$B:$B,Lists!$A$2,Debit!$E:$E,Lists!$B$4,Debit!$C:$C,Lists!$E$2,Debit!$A:$A,"&gt;="&amp;Lists!$D$8,Debit!$A:$A,"&lt;"&amp;EDATE(Lists!$D$8,1))</f>
        <v>0</v>
      </c>
      <c r="E132" s="92">
        <f>SUMIFS(Debit!$G:$G,Debit!$B:$B,Lists!$A$2,Debit!$E:$E,Lists!$B$4,Debit!$C:$C,Lists!$E$3,Debit!$A:$A,"&gt;="&amp;Lists!$D$8,Debit!$A:$A,"&lt;"&amp;EDATE(Lists!$D$8,1))</f>
        <v>0</v>
      </c>
      <c r="F132" s="92">
        <f t="shared" si="1"/>
        <v>0</v>
      </c>
    </row>
    <row r="133" ht="15.75" customHeight="1">
      <c r="A133" s="9" t="s">
        <v>52</v>
      </c>
      <c r="B133" s="9" t="str">
        <f>Lists!$A$2</f>
        <v>Fibre Unit</v>
      </c>
      <c r="C133" s="9" t="str">
        <f>Lists!$B$5</f>
        <v>Vikas</v>
      </c>
      <c r="D133" s="92">
        <f>SUMIFS(Debit!$G:$G,Debit!$B:$B,Lists!$A$2,Debit!$E:$E,Lists!$B$5,Debit!$C:$C,Lists!$E$2,Debit!$A:$A,"&gt;="&amp;Lists!$D$8,Debit!$A:$A,"&lt;"&amp;EDATE(Lists!$D$8,1))</f>
        <v>0</v>
      </c>
      <c r="E133" s="92">
        <f>SUMIFS(Debit!$G:$G,Debit!$B:$B,Lists!$A$2,Debit!$E:$E,Lists!$B$5,Debit!$C:$C,Lists!$E$3,Debit!$A:$A,"&gt;="&amp;Lists!$D$8,Debit!$A:$A,"&lt;"&amp;EDATE(Lists!$D$8,1))</f>
        <v>0</v>
      </c>
      <c r="F133" s="92">
        <f t="shared" si="1"/>
        <v>0</v>
      </c>
    </row>
    <row r="134" ht="15.75" customHeight="1">
      <c r="A134" s="9" t="s">
        <v>52</v>
      </c>
      <c r="B134" s="9" t="str">
        <f>Lists!$A$2</f>
        <v>Fibre Unit</v>
      </c>
      <c r="C134" s="9" t="str">
        <f>Lists!$B$6</f>
        <v>Payable to Alam</v>
      </c>
      <c r="D134" s="92">
        <f>SUMIFS(Debit!$G:$G,Debit!$B:$B,Lists!$A$2,Debit!$E:$E,Lists!$B$6,Debit!$C:$C,Lists!$E$2,Debit!$A:$A,"&gt;="&amp;Lists!$D$8,Debit!$A:$A,"&lt;"&amp;EDATE(Lists!$D$8,1))</f>
        <v>0</v>
      </c>
      <c r="E134" s="92">
        <f>SUMIFS(Debit!$G:$G,Debit!$B:$B,Lists!$A$2,Debit!$E:$E,Lists!$B$6,Debit!$C:$C,Lists!$E$3,Debit!$A:$A,"&gt;="&amp;Lists!$D$8,Debit!$A:$A,"&lt;"&amp;EDATE(Lists!$D$8,1))</f>
        <v>0</v>
      </c>
      <c r="F134" s="92">
        <f t="shared" si="1"/>
        <v>0</v>
      </c>
    </row>
    <row r="135" ht="15.75" customHeight="1">
      <c r="A135" s="9" t="s">
        <v>52</v>
      </c>
      <c r="B135" s="9" t="str">
        <f>Lists!$A$2</f>
        <v>Fibre Unit</v>
      </c>
      <c r="C135" s="9" t="str">
        <f>Lists!$B$7</f>
        <v>Union Bank - CC</v>
      </c>
      <c r="D135" s="92">
        <f>SUMIFS(Debit!$G:$G,Debit!$B:$B,Lists!$A$2,Debit!$E:$E,Lists!$B$7,Debit!$C:$C,Lists!$E$2,Debit!$A:$A,"&gt;="&amp;Lists!$D$8,Debit!$A:$A,"&lt;"&amp;EDATE(Lists!$D$8,1))</f>
        <v>0</v>
      </c>
      <c r="E135" s="92">
        <f>SUMIFS(Debit!$G:$G,Debit!$B:$B,Lists!$A$2,Debit!$E:$E,Lists!$B$7,Debit!$C:$C,Lists!$E$3,Debit!$A:$A,"&gt;="&amp;Lists!$D$8,Debit!$A:$A,"&lt;"&amp;EDATE(Lists!$D$8,1))</f>
        <v>0</v>
      </c>
      <c r="F135" s="92">
        <f t="shared" si="1"/>
        <v>0</v>
      </c>
    </row>
    <row r="136" ht="15.75" customHeight="1">
      <c r="A136" s="9" t="s">
        <v>52</v>
      </c>
      <c r="B136" s="9" t="str">
        <f>Lists!$A$2</f>
        <v>Fibre Unit</v>
      </c>
      <c r="C136" s="9" t="str">
        <f>Lists!$B$8</f>
        <v>Union Bank - Current</v>
      </c>
      <c r="D136" s="92">
        <f>SUMIFS(Debit!$G:$G,Debit!$B:$B,Lists!$A$2,Debit!$E:$E,Lists!$B$8,Debit!$C:$C,Lists!$E$2,Debit!$A:$A,"&gt;="&amp;Lists!$D$8,Debit!$A:$A,"&lt;"&amp;EDATE(Lists!$D$8,1))</f>
        <v>0</v>
      </c>
      <c r="E136" s="92">
        <f>SUMIFS(Debit!$G:$G,Debit!$B:$B,Lists!$A$2,Debit!$E:$E,Lists!$B$8,Debit!$C:$C,Lists!$E$3,Debit!$A:$A,"&gt;="&amp;Lists!$D$8,Debit!$A:$A,"&lt;"&amp;EDATE(Lists!$D$8,1))</f>
        <v>0</v>
      </c>
      <c r="F136" s="92">
        <f t="shared" si="1"/>
        <v>0</v>
      </c>
    </row>
    <row r="137" ht="15.75" customHeight="1">
      <c r="A137" s="9" t="s">
        <v>52</v>
      </c>
      <c r="B137" s="9" t="str">
        <f>Lists!$A$3</f>
        <v>Chips Unit</v>
      </c>
      <c r="C137" s="9" t="str">
        <f>Lists!$B$2</f>
        <v>Shareholder - Jagadeesan</v>
      </c>
      <c r="D137" s="92">
        <f>SUMIFS(Debit!$G:$G,Debit!$B:$B,Lists!$A$3,Debit!$E:$E,Lists!$B$2,Debit!$C:$C,Lists!$E$2,Debit!$A:$A,"&gt;="&amp;Lists!$D$8,Debit!$A:$A,"&lt;"&amp;EDATE(Lists!$D$8,1))</f>
        <v>0</v>
      </c>
      <c r="E137" s="92">
        <f>SUMIFS(Debit!$G:$G,Debit!$B:$B,Lists!$A$3,Debit!$E:$E,Lists!$B$2,Debit!$C:$C,Lists!$E$3,Debit!$A:$A,"&gt;="&amp;Lists!$D$8,Debit!$A:$A,"&lt;"&amp;EDATE(Lists!$D$8,1))</f>
        <v>0</v>
      </c>
      <c r="F137" s="92">
        <f t="shared" si="1"/>
        <v>0</v>
      </c>
    </row>
    <row r="138" ht="15.75" customHeight="1">
      <c r="A138" s="9" t="s">
        <v>52</v>
      </c>
      <c r="B138" s="9" t="str">
        <f>Lists!$A$3</f>
        <v>Chips Unit</v>
      </c>
      <c r="C138" s="9" t="str">
        <f>Lists!$B$3</f>
        <v>Shareholder - Jagadeshwaran</v>
      </c>
      <c r="D138" s="92">
        <f>SUMIFS(Debit!$G:$G,Debit!$B:$B,Lists!$A$3,Debit!$E:$E,Lists!$B$3,Debit!$C:$C,Lists!$E$2,Debit!$A:$A,"&gt;="&amp;Lists!$D$8,Debit!$A:$A,"&lt;"&amp;EDATE(Lists!$D$8,1))</f>
        <v>0</v>
      </c>
      <c r="E138" s="92">
        <f>SUMIFS(Debit!$G:$G,Debit!$B:$B,Lists!$A$3,Debit!$E:$E,Lists!$B$3,Debit!$C:$C,Lists!$E$3,Debit!$A:$A,"&gt;="&amp;Lists!$D$8,Debit!$A:$A,"&lt;"&amp;EDATE(Lists!$D$8,1))</f>
        <v>0</v>
      </c>
      <c r="F138" s="92">
        <f t="shared" si="1"/>
        <v>0</v>
      </c>
    </row>
    <row r="139" ht="15.75" customHeight="1">
      <c r="A139" s="9" t="s">
        <v>52</v>
      </c>
      <c r="B139" s="9" t="str">
        <f>Lists!$A$3</f>
        <v>Chips Unit</v>
      </c>
      <c r="C139" s="9" t="str">
        <f>Lists!$B$4</f>
        <v>Shareholder - Vellingiri</v>
      </c>
      <c r="D139" s="92">
        <f>SUMIFS(Debit!$G:$G,Debit!$B:$B,Lists!$A$3,Debit!$E:$E,Lists!$B$4,Debit!$C:$C,Lists!$E$2,Debit!$A:$A,"&gt;="&amp;Lists!$D$8,Debit!$A:$A,"&lt;"&amp;EDATE(Lists!$D$8,1))</f>
        <v>0</v>
      </c>
      <c r="E139" s="92">
        <f>SUMIFS(Debit!$G:$G,Debit!$B:$B,Lists!$A$3,Debit!$E:$E,Lists!$B$4,Debit!$C:$C,Lists!$E$3,Debit!$A:$A,"&gt;="&amp;Lists!$D$8,Debit!$A:$A,"&lt;"&amp;EDATE(Lists!$D$8,1))</f>
        <v>0</v>
      </c>
      <c r="F139" s="92">
        <f t="shared" si="1"/>
        <v>0</v>
      </c>
    </row>
    <row r="140" ht="15.75" customHeight="1">
      <c r="A140" s="9" t="s">
        <v>52</v>
      </c>
      <c r="B140" s="9" t="str">
        <f>Lists!$A$3</f>
        <v>Chips Unit</v>
      </c>
      <c r="C140" s="9" t="str">
        <f>Lists!$B$5</f>
        <v>Vikas</v>
      </c>
      <c r="D140" s="92">
        <f>SUMIFS(Debit!$G:$G,Debit!$B:$B,Lists!$A$3,Debit!$E:$E,Lists!$B$5,Debit!$C:$C,Lists!$E$2,Debit!$A:$A,"&gt;="&amp;Lists!$D$8,Debit!$A:$A,"&lt;"&amp;EDATE(Lists!$D$8,1))</f>
        <v>0</v>
      </c>
      <c r="E140" s="92">
        <f>SUMIFS(Debit!$G:$G,Debit!$B:$B,Lists!$A$3,Debit!$E:$E,Lists!$B$5,Debit!$C:$C,Lists!$E$3,Debit!$A:$A,"&gt;="&amp;Lists!$D$8,Debit!$A:$A,"&lt;"&amp;EDATE(Lists!$D$8,1))</f>
        <v>0</v>
      </c>
      <c r="F140" s="92">
        <f t="shared" si="1"/>
        <v>0</v>
      </c>
    </row>
    <row r="141" ht="15.75" customHeight="1">
      <c r="A141" s="9" t="s">
        <v>52</v>
      </c>
      <c r="B141" s="9" t="str">
        <f>Lists!$A$3</f>
        <v>Chips Unit</v>
      </c>
      <c r="C141" s="9" t="str">
        <f>Lists!$B$6</f>
        <v>Payable to Alam</v>
      </c>
      <c r="D141" s="92">
        <f>SUMIFS(Debit!$G:$G,Debit!$B:$B,Lists!$A$3,Debit!$E:$E,Lists!$B$6,Debit!$C:$C,Lists!$E$2,Debit!$A:$A,"&gt;="&amp;Lists!$D$8,Debit!$A:$A,"&lt;"&amp;EDATE(Lists!$D$8,1))</f>
        <v>0</v>
      </c>
      <c r="E141" s="92">
        <f>SUMIFS(Debit!$G:$G,Debit!$B:$B,Lists!$A$3,Debit!$E:$E,Lists!$B$6,Debit!$C:$C,Lists!$E$3,Debit!$A:$A,"&gt;="&amp;Lists!$D$8,Debit!$A:$A,"&lt;"&amp;EDATE(Lists!$D$8,1))</f>
        <v>0</v>
      </c>
      <c r="F141" s="92">
        <f t="shared" si="1"/>
        <v>0</v>
      </c>
    </row>
    <row r="142" ht="15.75" customHeight="1">
      <c r="A142" s="9" t="s">
        <v>52</v>
      </c>
      <c r="B142" s="9" t="str">
        <f>Lists!$A$3</f>
        <v>Chips Unit</v>
      </c>
      <c r="C142" s="9" t="str">
        <f>Lists!$B$7</f>
        <v>Union Bank - CC</v>
      </c>
      <c r="D142" s="92">
        <f>SUMIFS(Debit!$G:$G,Debit!$B:$B,Lists!$A$3,Debit!$E:$E,Lists!$B$7,Debit!$C:$C,Lists!$E$2,Debit!$A:$A,"&gt;="&amp;Lists!$D$8,Debit!$A:$A,"&lt;"&amp;EDATE(Lists!$D$8,1))</f>
        <v>0</v>
      </c>
      <c r="E142" s="92">
        <f>SUMIFS(Debit!$G:$G,Debit!$B:$B,Lists!$A$3,Debit!$E:$E,Lists!$B$7,Debit!$C:$C,Lists!$E$3,Debit!$A:$A,"&gt;="&amp;Lists!$D$8,Debit!$A:$A,"&lt;"&amp;EDATE(Lists!$D$8,1))</f>
        <v>0</v>
      </c>
      <c r="F142" s="92">
        <f t="shared" si="1"/>
        <v>0</v>
      </c>
    </row>
    <row r="143" ht="15.75" customHeight="1">
      <c r="A143" s="9" t="s">
        <v>52</v>
      </c>
      <c r="B143" s="9" t="str">
        <f>Lists!$A$3</f>
        <v>Chips Unit</v>
      </c>
      <c r="C143" s="9" t="str">
        <f>Lists!$B$8</f>
        <v>Union Bank - Current</v>
      </c>
      <c r="D143" s="92">
        <f>SUMIFS(Debit!$G:$G,Debit!$B:$B,Lists!$A$3,Debit!$E:$E,Lists!$B$8,Debit!$C:$C,Lists!$E$2,Debit!$A:$A,"&gt;="&amp;Lists!$D$8,Debit!$A:$A,"&lt;"&amp;EDATE(Lists!$D$8,1))</f>
        <v>0</v>
      </c>
      <c r="E143" s="92">
        <f>SUMIFS(Debit!$G:$G,Debit!$B:$B,Lists!$A$3,Debit!$E:$E,Lists!$B$8,Debit!$C:$C,Lists!$E$3,Debit!$A:$A,"&gt;="&amp;Lists!$D$8,Debit!$A:$A,"&lt;"&amp;EDATE(Lists!$D$8,1))</f>
        <v>0</v>
      </c>
      <c r="F143" s="92">
        <f t="shared" si="1"/>
        <v>0</v>
      </c>
    </row>
    <row r="144" ht="15.75" customHeight="1">
      <c r="A144" s="9" t="s">
        <v>52</v>
      </c>
      <c r="B144" s="9" t="str">
        <f>Lists!$A$4</f>
        <v>Washing Unit</v>
      </c>
      <c r="C144" s="9" t="str">
        <f>Lists!$B$2</f>
        <v>Shareholder - Jagadeesan</v>
      </c>
      <c r="D144" s="92">
        <f>SUMIFS(Debit!$G:$G,Debit!$B:$B,Lists!$A$4,Debit!$E:$E,Lists!$B$2,Debit!$C:$C,Lists!$E$2,Debit!$A:$A,"&gt;="&amp;Lists!$D$8,Debit!$A:$A,"&lt;"&amp;EDATE(Lists!$D$8,1))</f>
        <v>0</v>
      </c>
      <c r="E144" s="92">
        <f>SUMIFS(Debit!$G:$G,Debit!$B:$B,Lists!$A$4,Debit!$E:$E,Lists!$B$2,Debit!$C:$C,Lists!$E$3,Debit!$A:$A,"&gt;="&amp;Lists!$D$8,Debit!$A:$A,"&lt;"&amp;EDATE(Lists!$D$8,1))</f>
        <v>0</v>
      </c>
      <c r="F144" s="92">
        <f t="shared" si="1"/>
        <v>0</v>
      </c>
    </row>
    <row r="145" ht="15.75" customHeight="1">
      <c r="A145" s="9" t="s">
        <v>52</v>
      </c>
      <c r="B145" s="9" t="str">
        <f>Lists!$A$4</f>
        <v>Washing Unit</v>
      </c>
      <c r="C145" s="9" t="str">
        <f>Lists!$B$3</f>
        <v>Shareholder - Jagadeshwaran</v>
      </c>
      <c r="D145" s="92">
        <f>SUMIFS(Debit!$G:$G,Debit!$B:$B,Lists!$A$4,Debit!$E:$E,Lists!$B$3,Debit!$C:$C,Lists!$E$2,Debit!$A:$A,"&gt;="&amp;Lists!$D$8,Debit!$A:$A,"&lt;"&amp;EDATE(Lists!$D$8,1))</f>
        <v>0</v>
      </c>
      <c r="E145" s="92">
        <f>SUMIFS(Debit!$G:$G,Debit!$B:$B,Lists!$A$4,Debit!$E:$E,Lists!$B$3,Debit!$C:$C,Lists!$E$3,Debit!$A:$A,"&gt;="&amp;Lists!$D$8,Debit!$A:$A,"&lt;"&amp;EDATE(Lists!$D$8,1))</f>
        <v>0</v>
      </c>
      <c r="F145" s="92">
        <f t="shared" si="1"/>
        <v>0</v>
      </c>
    </row>
    <row r="146" ht="15.75" customHeight="1">
      <c r="A146" s="9" t="s">
        <v>52</v>
      </c>
      <c r="B146" s="9" t="str">
        <f>Lists!$A$4</f>
        <v>Washing Unit</v>
      </c>
      <c r="C146" s="9" t="str">
        <f>Lists!$B$4</f>
        <v>Shareholder - Vellingiri</v>
      </c>
      <c r="D146" s="92">
        <f>SUMIFS(Debit!$G:$G,Debit!$B:$B,Lists!$A$4,Debit!$E:$E,Lists!$B$4,Debit!$C:$C,Lists!$E$2,Debit!$A:$A,"&gt;="&amp;Lists!$D$8,Debit!$A:$A,"&lt;"&amp;EDATE(Lists!$D$8,1))</f>
        <v>0</v>
      </c>
      <c r="E146" s="92">
        <f>SUMIFS(Debit!$G:$G,Debit!$B:$B,Lists!$A$4,Debit!$E:$E,Lists!$B$4,Debit!$C:$C,Lists!$E$3,Debit!$A:$A,"&gt;="&amp;Lists!$D$8,Debit!$A:$A,"&lt;"&amp;EDATE(Lists!$D$8,1))</f>
        <v>0</v>
      </c>
      <c r="F146" s="92">
        <f t="shared" si="1"/>
        <v>0</v>
      </c>
    </row>
    <row r="147" ht="15.75" customHeight="1">
      <c r="A147" s="9" t="s">
        <v>52</v>
      </c>
      <c r="B147" s="9" t="str">
        <f>Lists!$A$4</f>
        <v>Washing Unit</v>
      </c>
      <c r="C147" s="9" t="str">
        <f>Lists!$B$5</f>
        <v>Vikas</v>
      </c>
      <c r="D147" s="92">
        <f>SUMIFS(Debit!$G:$G,Debit!$B:$B,Lists!$A$4,Debit!$E:$E,Lists!$B$5,Debit!$C:$C,Lists!$E$2,Debit!$A:$A,"&gt;="&amp;Lists!$D$8,Debit!$A:$A,"&lt;"&amp;EDATE(Lists!$D$8,1))</f>
        <v>0</v>
      </c>
      <c r="E147" s="92">
        <f>SUMIFS(Debit!$G:$G,Debit!$B:$B,Lists!$A$4,Debit!$E:$E,Lists!$B$5,Debit!$C:$C,Lists!$E$3,Debit!$A:$A,"&gt;="&amp;Lists!$D$8,Debit!$A:$A,"&lt;"&amp;EDATE(Lists!$D$8,1))</f>
        <v>0</v>
      </c>
      <c r="F147" s="92">
        <f t="shared" si="1"/>
        <v>0</v>
      </c>
    </row>
    <row r="148" ht="15.75" customHeight="1">
      <c r="A148" s="9" t="s">
        <v>52</v>
      </c>
      <c r="B148" s="9" t="str">
        <f>Lists!$A$4</f>
        <v>Washing Unit</v>
      </c>
      <c r="C148" s="9" t="str">
        <f>Lists!$B$6</f>
        <v>Payable to Alam</v>
      </c>
      <c r="D148" s="92">
        <f>SUMIFS(Debit!$G:$G,Debit!$B:$B,Lists!$A$4,Debit!$E:$E,Lists!$B$6,Debit!$C:$C,Lists!$E$2,Debit!$A:$A,"&gt;="&amp;Lists!$D$8,Debit!$A:$A,"&lt;"&amp;EDATE(Lists!$D$8,1))</f>
        <v>0</v>
      </c>
      <c r="E148" s="92">
        <f>SUMIFS(Debit!$G:$G,Debit!$B:$B,Lists!$A$4,Debit!$E:$E,Lists!$B$6,Debit!$C:$C,Lists!$E$3,Debit!$A:$A,"&gt;="&amp;Lists!$D$8,Debit!$A:$A,"&lt;"&amp;EDATE(Lists!$D$8,1))</f>
        <v>0</v>
      </c>
      <c r="F148" s="92">
        <f t="shared" si="1"/>
        <v>0</v>
      </c>
    </row>
    <row r="149" ht="15.75" customHeight="1">
      <c r="A149" s="9" t="s">
        <v>52</v>
      </c>
      <c r="B149" s="9" t="str">
        <f>Lists!$A$4</f>
        <v>Washing Unit</v>
      </c>
      <c r="C149" s="9" t="str">
        <f>Lists!$B$7</f>
        <v>Union Bank - CC</v>
      </c>
      <c r="D149" s="92">
        <f>SUMIFS(Debit!$G:$G,Debit!$B:$B,Lists!$A$4,Debit!$E:$E,Lists!$B$7,Debit!$C:$C,Lists!$E$2,Debit!$A:$A,"&gt;="&amp;Lists!$D$8,Debit!$A:$A,"&lt;"&amp;EDATE(Lists!$D$8,1))</f>
        <v>0</v>
      </c>
      <c r="E149" s="92">
        <f>SUMIFS(Debit!$G:$G,Debit!$B:$B,Lists!$A$4,Debit!$E:$E,Lists!$B$7,Debit!$C:$C,Lists!$E$3,Debit!$A:$A,"&gt;="&amp;Lists!$D$8,Debit!$A:$A,"&lt;"&amp;EDATE(Lists!$D$8,1))</f>
        <v>0</v>
      </c>
      <c r="F149" s="92">
        <f t="shared" si="1"/>
        <v>0</v>
      </c>
    </row>
    <row r="150" ht="15.75" customHeight="1">
      <c r="A150" s="9" t="s">
        <v>52</v>
      </c>
      <c r="B150" s="9" t="str">
        <f>Lists!$A$4</f>
        <v>Washing Unit</v>
      </c>
      <c r="C150" s="9" t="str">
        <f>Lists!$B$8</f>
        <v>Union Bank - Current</v>
      </c>
      <c r="D150" s="92">
        <f>SUMIFS(Debit!$G:$G,Debit!$B:$B,Lists!$A$4,Debit!$E:$E,Lists!$B$8,Debit!$C:$C,Lists!$E$2,Debit!$A:$A,"&gt;="&amp;Lists!$D$8,Debit!$A:$A,"&lt;"&amp;EDATE(Lists!$D$8,1))</f>
        <v>0</v>
      </c>
      <c r="E150" s="92">
        <f>SUMIFS(Debit!$G:$G,Debit!$B:$B,Lists!$A$4,Debit!$E:$E,Lists!$B$8,Debit!$C:$C,Lists!$E$3,Debit!$A:$A,"&gt;="&amp;Lists!$D$8,Debit!$A:$A,"&lt;"&amp;EDATE(Lists!$D$8,1))</f>
        <v>0</v>
      </c>
      <c r="F150" s="92">
        <f t="shared" si="1"/>
        <v>0</v>
      </c>
    </row>
    <row r="151" ht="15.75" customHeight="1">
      <c r="A151" s="9" t="s">
        <v>55</v>
      </c>
      <c r="B151" s="9" t="str">
        <f>Lists!$A$2</f>
        <v>Fibre Unit</v>
      </c>
      <c r="C151" s="9" t="str">
        <f>Lists!$B$2</f>
        <v>Shareholder - Jagadeesan</v>
      </c>
      <c r="D151" s="92">
        <f>SUMIFS(Debit!$G:$G,Debit!$B:$B,Lists!$A$2,Debit!$E:$E,Lists!$B$2,Debit!$C:$C,Lists!$E$2,Debit!$A:$A,"&gt;="&amp;Lists!$D$9,Debit!$A:$A,"&lt;"&amp;EDATE(Lists!$D$9,1))</f>
        <v>0</v>
      </c>
      <c r="E151" s="92">
        <f>SUMIFS(Debit!$G:$G,Debit!$B:$B,Lists!$A$2,Debit!$E:$E,Lists!$B$2,Debit!$C:$C,Lists!$E$3,Debit!$A:$A,"&gt;="&amp;Lists!$D$9,Debit!$A:$A,"&lt;"&amp;EDATE(Lists!$D$9,1))</f>
        <v>0</v>
      </c>
      <c r="F151" s="92">
        <f t="shared" si="1"/>
        <v>0</v>
      </c>
    </row>
    <row r="152" ht="15.75" customHeight="1">
      <c r="A152" s="9" t="s">
        <v>55</v>
      </c>
      <c r="B152" s="9" t="str">
        <f>Lists!$A$2</f>
        <v>Fibre Unit</v>
      </c>
      <c r="C152" s="9" t="str">
        <f>Lists!$B$3</f>
        <v>Shareholder - Jagadeshwaran</v>
      </c>
      <c r="D152" s="92">
        <f>SUMIFS(Debit!$G:$G,Debit!$B:$B,Lists!$A$2,Debit!$E:$E,Lists!$B$3,Debit!$C:$C,Lists!$E$2,Debit!$A:$A,"&gt;="&amp;Lists!$D$9,Debit!$A:$A,"&lt;"&amp;EDATE(Lists!$D$9,1))</f>
        <v>0</v>
      </c>
      <c r="E152" s="92">
        <f>SUMIFS(Debit!$G:$G,Debit!$B:$B,Lists!$A$2,Debit!$E:$E,Lists!$B$3,Debit!$C:$C,Lists!$E$3,Debit!$A:$A,"&gt;="&amp;Lists!$D$9,Debit!$A:$A,"&lt;"&amp;EDATE(Lists!$D$9,1))</f>
        <v>0</v>
      </c>
      <c r="F152" s="92">
        <f t="shared" si="1"/>
        <v>0</v>
      </c>
    </row>
    <row r="153" ht="15.75" customHeight="1">
      <c r="A153" s="9" t="s">
        <v>55</v>
      </c>
      <c r="B153" s="9" t="str">
        <f>Lists!$A$2</f>
        <v>Fibre Unit</v>
      </c>
      <c r="C153" s="9" t="str">
        <f>Lists!$B$4</f>
        <v>Shareholder - Vellingiri</v>
      </c>
      <c r="D153" s="92">
        <f>SUMIFS(Debit!$G:$G,Debit!$B:$B,Lists!$A$2,Debit!$E:$E,Lists!$B$4,Debit!$C:$C,Lists!$E$2,Debit!$A:$A,"&gt;="&amp;Lists!$D$9,Debit!$A:$A,"&lt;"&amp;EDATE(Lists!$D$9,1))</f>
        <v>0</v>
      </c>
      <c r="E153" s="92">
        <f>SUMIFS(Debit!$G:$G,Debit!$B:$B,Lists!$A$2,Debit!$E:$E,Lists!$B$4,Debit!$C:$C,Lists!$E$3,Debit!$A:$A,"&gt;="&amp;Lists!$D$9,Debit!$A:$A,"&lt;"&amp;EDATE(Lists!$D$9,1))</f>
        <v>0</v>
      </c>
      <c r="F153" s="92">
        <f t="shared" si="1"/>
        <v>0</v>
      </c>
    </row>
    <row r="154" ht="15.75" customHeight="1">
      <c r="A154" s="9" t="s">
        <v>55</v>
      </c>
      <c r="B154" s="9" t="str">
        <f>Lists!$A$2</f>
        <v>Fibre Unit</v>
      </c>
      <c r="C154" s="9" t="str">
        <f>Lists!$B$5</f>
        <v>Vikas</v>
      </c>
      <c r="D154" s="92">
        <f>SUMIFS(Debit!$G:$G,Debit!$B:$B,Lists!$A$2,Debit!$E:$E,Lists!$B$5,Debit!$C:$C,Lists!$E$2,Debit!$A:$A,"&gt;="&amp;Lists!$D$9,Debit!$A:$A,"&lt;"&amp;EDATE(Lists!$D$9,1))</f>
        <v>0</v>
      </c>
      <c r="E154" s="92">
        <f>SUMIFS(Debit!$G:$G,Debit!$B:$B,Lists!$A$2,Debit!$E:$E,Lists!$B$5,Debit!$C:$C,Lists!$E$3,Debit!$A:$A,"&gt;="&amp;Lists!$D$9,Debit!$A:$A,"&lt;"&amp;EDATE(Lists!$D$9,1))</f>
        <v>0</v>
      </c>
      <c r="F154" s="92">
        <f t="shared" si="1"/>
        <v>0</v>
      </c>
    </row>
    <row r="155" ht="15.75" customHeight="1">
      <c r="A155" s="9" t="s">
        <v>55</v>
      </c>
      <c r="B155" s="9" t="str">
        <f>Lists!$A$2</f>
        <v>Fibre Unit</v>
      </c>
      <c r="C155" s="9" t="str">
        <f>Lists!$B$6</f>
        <v>Payable to Alam</v>
      </c>
      <c r="D155" s="92">
        <f>SUMIFS(Debit!$G:$G,Debit!$B:$B,Lists!$A$2,Debit!$E:$E,Lists!$B$6,Debit!$C:$C,Lists!$E$2,Debit!$A:$A,"&gt;="&amp;Lists!$D$9,Debit!$A:$A,"&lt;"&amp;EDATE(Lists!$D$9,1))</f>
        <v>0</v>
      </c>
      <c r="E155" s="92">
        <f>SUMIFS(Debit!$G:$G,Debit!$B:$B,Lists!$A$2,Debit!$E:$E,Lists!$B$6,Debit!$C:$C,Lists!$E$3,Debit!$A:$A,"&gt;="&amp;Lists!$D$9,Debit!$A:$A,"&lt;"&amp;EDATE(Lists!$D$9,1))</f>
        <v>0</v>
      </c>
      <c r="F155" s="92">
        <f t="shared" si="1"/>
        <v>0</v>
      </c>
    </row>
    <row r="156" ht="15.75" customHeight="1">
      <c r="A156" s="9" t="s">
        <v>55</v>
      </c>
      <c r="B156" s="9" t="str">
        <f>Lists!$A$2</f>
        <v>Fibre Unit</v>
      </c>
      <c r="C156" s="9" t="str">
        <f>Lists!$B$7</f>
        <v>Union Bank - CC</v>
      </c>
      <c r="D156" s="92">
        <f>SUMIFS(Debit!$G:$G,Debit!$B:$B,Lists!$A$2,Debit!$E:$E,Lists!$B$7,Debit!$C:$C,Lists!$E$2,Debit!$A:$A,"&gt;="&amp;Lists!$D$9,Debit!$A:$A,"&lt;"&amp;EDATE(Lists!$D$9,1))</f>
        <v>0</v>
      </c>
      <c r="E156" s="92">
        <f>SUMIFS(Debit!$G:$G,Debit!$B:$B,Lists!$A$2,Debit!$E:$E,Lists!$B$7,Debit!$C:$C,Lists!$E$3,Debit!$A:$A,"&gt;="&amp;Lists!$D$9,Debit!$A:$A,"&lt;"&amp;EDATE(Lists!$D$9,1))</f>
        <v>0</v>
      </c>
      <c r="F156" s="92">
        <f t="shared" si="1"/>
        <v>0</v>
      </c>
    </row>
    <row r="157" ht="15.75" customHeight="1">
      <c r="A157" s="9" t="s">
        <v>55</v>
      </c>
      <c r="B157" s="9" t="str">
        <f>Lists!$A$2</f>
        <v>Fibre Unit</v>
      </c>
      <c r="C157" s="9" t="str">
        <f>Lists!$B$8</f>
        <v>Union Bank - Current</v>
      </c>
      <c r="D157" s="92">
        <f>SUMIFS(Debit!$G:$G,Debit!$B:$B,Lists!$A$2,Debit!$E:$E,Lists!$B$8,Debit!$C:$C,Lists!$E$2,Debit!$A:$A,"&gt;="&amp;Lists!$D$9,Debit!$A:$A,"&lt;"&amp;EDATE(Lists!$D$9,1))</f>
        <v>0</v>
      </c>
      <c r="E157" s="92">
        <f>SUMIFS(Debit!$G:$G,Debit!$B:$B,Lists!$A$2,Debit!$E:$E,Lists!$B$8,Debit!$C:$C,Lists!$E$3,Debit!$A:$A,"&gt;="&amp;Lists!$D$9,Debit!$A:$A,"&lt;"&amp;EDATE(Lists!$D$9,1))</f>
        <v>0</v>
      </c>
      <c r="F157" s="92">
        <f t="shared" si="1"/>
        <v>0</v>
      </c>
    </row>
    <row r="158" ht="15.75" customHeight="1">
      <c r="A158" s="9" t="s">
        <v>55</v>
      </c>
      <c r="B158" s="9" t="str">
        <f>Lists!$A$3</f>
        <v>Chips Unit</v>
      </c>
      <c r="C158" s="9" t="str">
        <f>Lists!$B$2</f>
        <v>Shareholder - Jagadeesan</v>
      </c>
      <c r="D158" s="92">
        <f>SUMIFS(Debit!$G:$G,Debit!$B:$B,Lists!$A$3,Debit!$E:$E,Lists!$B$2,Debit!$C:$C,Lists!$E$2,Debit!$A:$A,"&gt;="&amp;Lists!$D$9,Debit!$A:$A,"&lt;"&amp;EDATE(Lists!$D$9,1))</f>
        <v>0</v>
      </c>
      <c r="E158" s="92">
        <f>SUMIFS(Debit!$G:$G,Debit!$B:$B,Lists!$A$3,Debit!$E:$E,Lists!$B$2,Debit!$C:$C,Lists!$E$3,Debit!$A:$A,"&gt;="&amp;Lists!$D$9,Debit!$A:$A,"&lt;"&amp;EDATE(Lists!$D$9,1))</f>
        <v>0</v>
      </c>
      <c r="F158" s="92">
        <f t="shared" si="1"/>
        <v>0</v>
      </c>
    </row>
    <row r="159" ht="15.75" customHeight="1">
      <c r="A159" s="9" t="s">
        <v>55</v>
      </c>
      <c r="B159" s="9" t="str">
        <f>Lists!$A$3</f>
        <v>Chips Unit</v>
      </c>
      <c r="C159" s="9" t="str">
        <f>Lists!$B$3</f>
        <v>Shareholder - Jagadeshwaran</v>
      </c>
      <c r="D159" s="92">
        <f>SUMIFS(Debit!$G:$G,Debit!$B:$B,Lists!$A$3,Debit!$E:$E,Lists!$B$3,Debit!$C:$C,Lists!$E$2,Debit!$A:$A,"&gt;="&amp;Lists!$D$9,Debit!$A:$A,"&lt;"&amp;EDATE(Lists!$D$9,1))</f>
        <v>0</v>
      </c>
      <c r="E159" s="92">
        <f>SUMIFS(Debit!$G:$G,Debit!$B:$B,Lists!$A$3,Debit!$E:$E,Lists!$B$3,Debit!$C:$C,Lists!$E$3,Debit!$A:$A,"&gt;="&amp;Lists!$D$9,Debit!$A:$A,"&lt;"&amp;EDATE(Lists!$D$9,1))</f>
        <v>0</v>
      </c>
      <c r="F159" s="92">
        <f t="shared" si="1"/>
        <v>0</v>
      </c>
    </row>
    <row r="160" ht="15.75" customHeight="1">
      <c r="A160" s="9" t="s">
        <v>55</v>
      </c>
      <c r="B160" s="9" t="str">
        <f>Lists!$A$3</f>
        <v>Chips Unit</v>
      </c>
      <c r="C160" s="9" t="str">
        <f>Lists!$B$4</f>
        <v>Shareholder - Vellingiri</v>
      </c>
      <c r="D160" s="92">
        <f>SUMIFS(Debit!$G:$G,Debit!$B:$B,Lists!$A$3,Debit!$E:$E,Lists!$B$4,Debit!$C:$C,Lists!$E$2,Debit!$A:$A,"&gt;="&amp;Lists!$D$9,Debit!$A:$A,"&lt;"&amp;EDATE(Lists!$D$9,1))</f>
        <v>0</v>
      </c>
      <c r="E160" s="92">
        <f>SUMIFS(Debit!$G:$G,Debit!$B:$B,Lists!$A$3,Debit!$E:$E,Lists!$B$4,Debit!$C:$C,Lists!$E$3,Debit!$A:$A,"&gt;="&amp;Lists!$D$9,Debit!$A:$A,"&lt;"&amp;EDATE(Lists!$D$9,1))</f>
        <v>0</v>
      </c>
      <c r="F160" s="92">
        <f t="shared" si="1"/>
        <v>0</v>
      </c>
    </row>
    <row r="161" ht="15.75" customHeight="1">
      <c r="A161" s="9" t="s">
        <v>55</v>
      </c>
      <c r="B161" s="9" t="str">
        <f>Lists!$A$3</f>
        <v>Chips Unit</v>
      </c>
      <c r="C161" s="9" t="str">
        <f>Lists!$B$5</f>
        <v>Vikas</v>
      </c>
      <c r="D161" s="92">
        <f>SUMIFS(Debit!$G:$G,Debit!$B:$B,Lists!$A$3,Debit!$E:$E,Lists!$B$5,Debit!$C:$C,Lists!$E$2,Debit!$A:$A,"&gt;="&amp;Lists!$D$9,Debit!$A:$A,"&lt;"&amp;EDATE(Lists!$D$9,1))</f>
        <v>0</v>
      </c>
      <c r="E161" s="92">
        <f>SUMIFS(Debit!$G:$G,Debit!$B:$B,Lists!$A$3,Debit!$E:$E,Lists!$B$5,Debit!$C:$C,Lists!$E$3,Debit!$A:$A,"&gt;="&amp;Lists!$D$9,Debit!$A:$A,"&lt;"&amp;EDATE(Lists!$D$9,1))</f>
        <v>0</v>
      </c>
      <c r="F161" s="92">
        <f t="shared" si="1"/>
        <v>0</v>
      </c>
    </row>
    <row r="162" ht="15.75" customHeight="1">
      <c r="A162" s="9" t="s">
        <v>55</v>
      </c>
      <c r="B162" s="9" t="str">
        <f>Lists!$A$3</f>
        <v>Chips Unit</v>
      </c>
      <c r="C162" s="9" t="str">
        <f>Lists!$B$6</f>
        <v>Payable to Alam</v>
      </c>
      <c r="D162" s="92">
        <f>SUMIFS(Debit!$G:$G,Debit!$B:$B,Lists!$A$3,Debit!$E:$E,Lists!$B$6,Debit!$C:$C,Lists!$E$2,Debit!$A:$A,"&gt;="&amp;Lists!$D$9,Debit!$A:$A,"&lt;"&amp;EDATE(Lists!$D$9,1))</f>
        <v>0</v>
      </c>
      <c r="E162" s="92">
        <f>SUMIFS(Debit!$G:$G,Debit!$B:$B,Lists!$A$3,Debit!$E:$E,Lists!$B$6,Debit!$C:$C,Lists!$E$3,Debit!$A:$A,"&gt;="&amp;Lists!$D$9,Debit!$A:$A,"&lt;"&amp;EDATE(Lists!$D$9,1))</f>
        <v>0</v>
      </c>
      <c r="F162" s="92">
        <f t="shared" si="1"/>
        <v>0</v>
      </c>
    </row>
    <row r="163" ht="15.75" customHeight="1">
      <c r="A163" s="9" t="s">
        <v>55</v>
      </c>
      <c r="B163" s="9" t="str">
        <f>Lists!$A$3</f>
        <v>Chips Unit</v>
      </c>
      <c r="C163" s="9" t="str">
        <f>Lists!$B$7</f>
        <v>Union Bank - CC</v>
      </c>
      <c r="D163" s="92">
        <f>SUMIFS(Debit!$G:$G,Debit!$B:$B,Lists!$A$3,Debit!$E:$E,Lists!$B$7,Debit!$C:$C,Lists!$E$2,Debit!$A:$A,"&gt;="&amp;Lists!$D$9,Debit!$A:$A,"&lt;"&amp;EDATE(Lists!$D$9,1))</f>
        <v>0</v>
      </c>
      <c r="E163" s="92">
        <f>SUMIFS(Debit!$G:$G,Debit!$B:$B,Lists!$A$3,Debit!$E:$E,Lists!$B$7,Debit!$C:$C,Lists!$E$3,Debit!$A:$A,"&gt;="&amp;Lists!$D$9,Debit!$A:$A,"&lt;"&amp;EDATE(Lists!$D$9,1))</f>
        <v>0</v>
      </c>
      <c r="F163" s="92">
        <f t="shared" si="1"/>
        <v>0</v>
      </c>
    </row>
    <row r="164" ht="15.75" customHeight="1">
      <c r="A164" s="9" t="s">
        <v>55</v>
      </c>
      <c r="B164" s="9" t="str">
        <f>Lists!$A$3</f>
        <v>Chips Unit</v>
      </c>
      <c r="C164" s="9" t="str">
        <f>Lists!$B$8</f>
        <v>Union Bank - Current</v>
      </c>
      <c r="D164" s="92">
        <f>SUMIFS(Debit!$G:$G,Debit!$B:$B,Lists!$A$3,Debit!$E:$E,Lists!$B$8,Debit!$C:$C,Lists!$E$2,Debit!$A:$A,"&gt;="&amp;Lists!$D$9,Debit!$A:$A,"&lt;"&amp;EDATE(Lists!$D$9,1))</f>
        <v>0</v>
      </c>
      <c r="E164" s="92">
        <f>SUMIFS(Debit!$G:$G,Debit!$B:$B,Lists!$A$3,Debit!$E:$E,Lists!$B$8,Debit!$C:$C,Lists!$E$3,Debit!$A:$A,"&gt;="&amp;Lists!$D$9,Debit!$A:$A,"&lt;"&amp;EDATE(Lists!$D$9,1))</f>
        <v>0</v>
      </c>
      <c r="F164" s="92">
        <f t="shared" si="1"/>
        <v>0</v>
      </c>
    </row>
    <row r="165" ht="15.75" customHeight="1">
      <c r="A165" s="9" t="s">
        <v>55</v>
      </c>
      <c r="B165" s="9" t="str">
        <f>Lists!$A$4</f>
        <v>Washing Unit</v>
      </c>
      <c r="C165" s="9" t="str">
        <f>Lists!$B$2</f>
        <v>Shareholder - Jagadeesan</v>
      </c>
      <c r="D165" s="92">
        <f>SUMIFS(Debit!$G:$G,Debit!$B:$B,Lists!$A$4,Debit!$E:$E,Lists!$B$2,Debit!$C:$C,Lists!$E$2,Debit!$A:$A,"&gt;="&amp;Lists!$D$9,Debit!$A:$A,"&lt;"&amp;EDATE(Lists!$D$9,1))</f>
        <v>0</v>
      </c>
      <c r="E165" s="92">
        <f>SUMIFS(Debit!$G:$G,Debit!$B:$B,Lists!$A$4,Debit!$E:$E,Lists!$B$2,Debit!$C:$C,Lists!$E$3,Debit!$A:$A,"&gt;="&amp;Lists!$D$9,Debit!$A:$A,"&lt;"&amp;EDATE(Lists!$D$9,1))</f>
        <v>0</v>
      </c>
      <c r="F165" s="92">
        <f t="shared" si="1"/>
        <v>0</v>
      </c>
    </row>
    <row r="166" ht="15.75" customHeight="1">
      <c r="A166" s="9" t="s">
        <v>55</v>
      </c>
      <c r="B166" s="9" t="str">
        <f>Lists!$A$4</f>
        <v>Washing Unit</v>
      </c>
      <c r="C166" s="9" t="str">
        <f>Lists!$B$3</f>
        <v>Shareholder - Jagadeshwaran</v>
      </c>
      <c r="D166" s="92">
        <f>SUMIFS(Debit!$G:$G,Debit!$B:$B,Lists!$A$4,Debit!$E:$E,Lists!$B$3,Debit!$C:$C,Lists!$E$2,Debit!$A:$A,"&gt;="&amp;Lists!$D$9,Debit!$A:$A,"&lt;"&amp;EDATE(Lists!$D$9,1))</f>
        <v>0</v>
      </c>
      <c r="E166" s="92">
        <f>SUMIFS(Debit!$G:$G,Debit!$B:$B,Lists!$A$4,Debit!$E:$E,Lists!$B$3,Debit!$C:$C,Lists!$E$3,Debit!$A:$A,"&gt;="&amp;Lists!$D$9,Debit!$A:$A,"&lt;"&amp;EDATE(Lists!$D$9,1))</f>
        <v>0</v>
      </c>
      <c r="F166" s="92">
        <f t="shared" si="1"/>
        <v>0</v>
      </c>
    </row>
    <row r="167" ht="15.75" customHeight="1">
      <c r="A167" s="9" t="s">
        <v>55</v>
      </c>
      <c r="B167" s="9" t="str">
        <f>Lists!$A$4</f>
        <v>Washing Unit</v>
      </c>
      <c r="C167" s="9" t="str">
        <f>Lists!$B$4</f>
        <v>Shareholder - Vellingiri</v>
      </c>
      <c r="D167" s="92">
        <f>SUMIFS(Debit!$G:$G,Debit!$B:$B,Lists!$A$4,Debit!$E:$E,Lists!$B$4,Debit!$C:$C,Lists!$E$2,Debit!$A:$A,"&gt;="&amp;Lists!$D$9,Debit!$A:$A,"&lt;"&amp;EDATE(Lists!$D$9,1))</f>
        <v>0</v>
      </c>
      <c r="E167" s="92">
        <f>SUMIFS(Debit!$G:$G,Debit!$B:$B,Lists!$A$4,Debit!$E:$E,Lists!$B$4,Debit!$C:$C,Lists!$E$3,Debit!$A:$A,"&gt;="&amp;Lists!$D$9,Debit!$A:$A,"&lt;"&amp;EDATE(Lists!$D$9,1))</f>
        <v>0</v>
      </c>
      <c r="F167" s="92">
        <f t="shared" si="1"/>
        <v>0</v>
      </c>
    </row>
    <row r="168" ht="15.75" customHeight="1">
      <c r="A168" s="9" t="s">
        <v>55</v>
      </c>
      <c r="B168" s="9" t="str">
        <f>Lists!$A$4</f>
        <v>Washing Unit</v>
      </c>
      <c r="C168" s="9" t="str">
        <f>Lists!$B$5</f>
        <v>Vikas</v>
      </c>
      <c r="D168" s="92">
        <f>SUMIFS(Debit!$G:$G,Debit!$B:$B,Lists!$A$4,Debit!$E:$E,Lists!$B$5,Debit!$C:$C,Lists!$E$2,Debit!$A:$A,"&gt;="&amp;Lists!$D$9,Debit!$A:$A,"&lt;"&amp;EDATE(Lists!$D$9,1))</f>
        <v>0</v>
      </c>
      <c r="E168" s="92">
        <f>SUMIFS(Debit!$G:$G,Debit!$B:$B,Lists!$A$4,Debit!$E:$E,Lists!$B$5,Debit!$C:$C,Lists!$E$3,Debit!$A:$A,"&gt;="&amp;Lists!$D$9,Debit!$A:$A,"&lt;"&amp;EDATE(Lists!$D$9,1))</f>
        <v>0</v>
      </c>
      <c r="F168" s="92">
        <f t="shared" si="1"/>
        <v>0</v>
      </c>
    </row>
    <row r="169" ht="15.75" customHeight="1">
      <c r="A169" s="9" t="s">
        <v>55</v>
      </c>
      <c r="B169" s="9" t="str">
        <f>Lists!$A$4</f>
        <v>Washing Unit</v>
      </c>
      <c r="C169" s="9" t="str">
        <f>Lists!$B$6</f>
        <v>Payable to Alam</v>
      </c>
      <c r="D169" s="92">
        <f>SUMIFS(Debit!$G:$G,Debit!$B:$B,Lists!$A$4,Debit!$E:$E,Lists!$B$6,Debit!$C:$C,Lists!$E$2,Debit!$A:$A,"&gt;="&amp;Lists!$D$9,Debit!$A:$A,"&lt;"&amp;EDATE(Lists!$D$9,1))</f>
        <v>0</v>
      </c>
      <c r="E169" s="92">
        <f>SUMIFS(Debit!$G:$G,Debit!$B:$B,Lists!$A$4,Debit!$E:$E,Lists!$B$6,Debit!$C:$C,Lists!$E$3,Debit!$A:$A,"&gt;="&amp;Lists!$D$9,Debit!$A:$A,"&lt;"&amp;EDATE(Lists!$D$9,1))</f>
        <v>0</v>
      </c>
      <c r="F169" s="92">
        <f t="shared" si="1"/>
        <v>0</v>
      </c>
    </row>
    <row r="170" ht="15.75" customHeight="1">
      <c r="A170" s="9" t="s">
        <v>55</v>
      </c>
      <c r="B170" s="9" t="str">
        <f>Lists!$A$4</f>
        <v>Washing Unit</v>
      </c>
      <c r="C170" s="9" t="str">
        <f>Lists!$B$7</f>
        <v>Union Bank - CC</v>
      </c>
      <c r="D170" s="92">
        <f>SUMIFS(Debit!$G:$G,Debit!$B:$B,Lists!$A$4,Debit!$E:$E,Lists!$B$7,Debit!$C:$C,Lists!$E$2,Debit!$A:$A,"&gt;="&amp;Lists!$D$9,Debit!$A:$A,"&lt;"&amp;EDATE(Lists!$D$9,1))</f>
        <v>0</v>
      </c>
      <c r="E170" s="92">
        <f>SUMIFS(Debit!$G:$G,Debit!$B:$B,Lists!$A$4,Debit!$E:$E,Lists!$B$7,Debit!$C:$C,Lists!$E$3,Debit!$A:$A,"&gt;="&amp;Lists!$D$9,Debit!$A:$A,"&lt;"&amp;EDATE(Lists!$D$9,1))</f>
        <v>0</v>
      </c>
      <c r="F170" s="92">
        <f t="shared" si="1"/>
        <v>0</v>
      </c>
    </row>
    <row r="171" ht="15.75" customHeight="1">
      <c r="A171" s="9" t="s">
        <v>55</v>
      </c>
      <c r="B171" s="9" t="str">
        <f>Lists!$A$4</f>
        <v>Washing Unit</v>
      </c>
      <c r="C171" s="9" t="str">
        <f>Lists!$B$8</f>
        <v>Union Bank - Current</v>
      </c>
      <c r="D171" s="92">
        <f>SUMIFS(Debit!$G:$G,Debit!$B:$B,Lists!$A$4,Debit!$E:$E,Lists!$B$8,Debit!$C:$C,Lists!$E$2,Debit!$A:$A,"&gt;="&amp;Lists!$D$9,Debit!$A:$A,"&lt;"&amp;EDATE(Lists!$D$9,1))</f>
        <v>0</v>
      </c>
      <c r="E171" s="92">
        <f>SUMIFS(Debit!$G:$G,Debit!$B:$B,Lists!$A$4,Debit!$E:$E,Lists!$B$8,Debit!$C:$C,Lists!$E$3,Debit!$A:$A,"&gt;="&amp;Lists!$D$9,Debit!$A:$A,"&lt;"&amp;EDATE(Lists!$D$9,1))</f>
        <v>0</v>
      </c>
      <c r="F171" s="92">
        <f t="shared" si="1"/>
        <v>0</v>
      </c>
    </row>
    <row r="172" ht="15.75" customHeight="1">
      <c r="A172" s="9" t="s">
        <v>57</v>
      </c>
      <c r="B172" s="9" t="str">
        <f>Lists!$A$2</f>
        <v>Fibre Unit</v>
      </c>
      <c r="C172" s="9" t="str">
        <f>Lists!$B$2</f>
        <v>Shareholder - Jagadeesan</v>
      </c>
      <c r="D172" s="92">
        <f>SUMIFS(Debit!$G:$G,Debit!$B:$B,Lists!$A$2,Debit!$E:$E,Lists!$B$2,Debit!$C:$C,Lists!$E$2,Debit!$A:$A,"&gt;="&amp;Lists!$D$10,Debit!$A:$A,"&lt;"&amp;EDATE(Lists!$D$10,1))</f>
        <v>0</v>
      </c>
      <c r="E172" s="92">
        <f>SUMIFS(Debit!$G:$G,Debit!$B:$B,Lists!$A$2,Debit!$E:$E,Lists!$B$2,Debit!$C:$C,Lists!$E$3,Debit!$A:$A,"&gt;="&amp;Lists!$D$10,Debit!$A:$A,"&lt;"&amp;EDATE(Lists!$D$10,1))</f>
        <v>0</v>
      </c>
      <c r="F172" s="92">
        <f t="shared" si="1"/>
        <v>0</v>
      </c>
    </row>
    <row r="173" ht="15.75" customHeight="1">
      <c r="A173" s="9" t="s">
        <v>57</v>
      </c>
      <c r="B173" s="9" t="str">
        <f>Lists!$A$2</f>
        <v>Fibre Unit</v>
      </c>
      <c r="C173" s="9" t="str">
        <f>Lists!$B$3</f>
        <v>Shareholder - Jagadeshwaran</v>
      </c>
      <c r="D173" s="92">
        <f>SUMIFS(Debit!$G:$G,Debit!$B:$B,Lists!$A$2,Debit!$E:$E,Lists!$B$3,Debit!$C:$C,Lists!$E$2,Debit!$A:$A,"&gt;="&amp;Lists!$D$10,Debit!$A:$A,"&lt;"&amp;EDATE(Lists!$D$10,1))</f>
        <v>0</v>
      </c>
      <c r="E173" s="92">
        <f>SUMIFS(Debit!$G:$G,Debit!$B:$B,Lists!$A$2,Debit!$E:$E,Lists!$B$3,Debit!$C:$C,Lists!$E$3,Debit!$A:$A,"&gt;="&amp;Lists!$D$10,Debit!$A:$A,"&lt;"&amp;EDATE(Lists!$D$10,1))</f>
        <v>0</v>
      </c>
      <c r="F173" s="92">
        <f t="shared" si="1"/>
        <v>0</v>
      </c>
    </row>
    <row r="174" ht="15.75" customHeight="1">
      <c r="A174" s="9" t="s">
        <v>57</v>
      </c>
      <c r="B174" s="9" t="str">
        <f>Lists!$A$2</f>
        <v>Fibre Unit</v>
      </c>
      <c r="C174" s="9" t="str">
        <f>Lists!$B$4</f>
        <v>Shareholder - Vellingiri</v>
      </c>
      <c r="D174" s="92">
        <f>SUMIFS(Debit!$G:$G,Debit!$B:$B,Lists!$A$2,Debit!$E:$E,Lists!$B$4,Debit!$C:$C,Lists!$E$2,Debit!$A:$A,"&gt;="&amp;Lists!$D$10,Debit!$A:$A,"&lt;"&amp;EDATE(Lists!$D$10,1))</f>
        <v>0</v>
      </c>
      <c r="E174" s="92">
        <f>SUMIFS(Debit!$G:$G,Debit!$B:$B,Lists!$A$2,Debit!$E:$E,Lists!$B$4,Debit!$C:$C,Lists!$E$3,Debit!$A:$A,"&gt;="&amp;Lists!$D$10,Debit!$A:$A,"&lt;"&amp;EDATE(Lists!$D$10,1))</f>
        <v>0</v>
      </c>
      <c r="F174" s="92">
        <f t="shared" si="1"/>
        <v>0</v>
      </c>
    </row>
    <row r="175" ht="15.75" customHeight="1">
      <c r="A175" s="9" t="s">
        <v>57</v>
      </c>
      <c r="B175" s="9" t="str">
        <f>Lists!$A$2</f>
        <v>Fibre Unit</v>
      </c>
      <c r="C175" s="9" t="str">
        <f>Lists!$B$5</f>
        <v>Vikas</v>
      </c>
      <c r="D175" s="92">
        <f>SUMIFS(Debit!$G:$G,Debit!$B:$B,Lists!$A$2,Debit!$E:$E,Lists!$B$5,Debit!$C:$C,Lists!$E$2,Debit!$A:$A,"&gt;="&amp;Lists!$D$10,Debit!$A:$A,"&lt;"&amp;EDATE(Lists!$D$10,1))</f>
        <v>0</v>
      </c>
      <c r="E175" s="92">
        <f>SUMIFS(Debit!$G:$G,Debit!$B:$B,Lists!$A$2,Debit!$E:$E,Lists!$B$5,Debit!$C:$C,Lists!$E$3,Debit!$A:$A,"&gt;="&amp;Lists!$D$10,Debit!$A:$A,"&lt;"&amp;EDATE(Lists!$D$10,1))</f>
        <v>0</v>
      </c>
      <c r="F175" s="92">
        <f t="shared" si="1"/>
        <v>0</v>
      </c>
    </row>
    <row r="176" ht="15.75" customHeight="1">
      <c r="A176" s="9" t="s">
        <v>57</v>
      </c>
      <c r="B176" s="9" t="str">
        <f>Lists!$A$2</f>
        <v>Fibre Unit</v>
      </c>
      <c r="C176" s="9" t="str">
        <f>Lists!$B$6</f>
        <v>Payable to Alam</v>
      </c>
      <c r="D176" s="92">
        <f>SUMIFS(Debit!$G:$G,Debit!$B:$B,Lists!$A$2,Debit!$E:$E,Lists!$B$6,Debit!$C:$C,Lists!$E$2,Debit!$A:$A,"&gt;="&amp;Lists!$D$10,Debit!$A:$A,"&lt;"&amp;EDATE(Lists!$D$10,1))</f>
        <v>0</v>
      </c>
      <c r="E176" s="92">
        <f>SUMIFS(Debit!$G:$G,Debit!$B:$B,Lists!$A$2,Debit!$E:$E,Lists!$B$6,Debit!$C:$C,Lists!$E$3,Debit!$A:$A,"&gt;="&amp;Lists!$D$10,Debit!$A:$A,"&lt;"&amp;EDATE(Lists!$D$10,1))</f>
        <v>0</v>
      </c>
      <c r="F176" s="92">
        <f t="shared" si="1"/>
        <v>0</v>
      </c>
    </row>
    <row r="177" ht="15.75" customHeight="1">
      <c r="A177" s="9" t="s">
        <v>57</v>
      </c>
      <c r="B177" s="9" t="str">
        <f>Lists!$A$2</f>
        <v>Fibre Unit</v>
      </c>
      <c r="C177" s="9" t="str">
        <f>Lists!$B$7</f>
        <v>Union Bank - CC</v>
      </c>
      <c r="D177" s="92">
        <f>SUMIFS(Debit!$G:$G,Debit!$B:$B,Lists!$A$2,Debit!$E:$E,Lists!$B$7,Debit!$C:$C,Lists!$E$2,Debit!$A:$A,"&gt;="&amp;Lists!$D$10,Debit!$A:$A,"&lt;"&amp;EDATE(Lists!$D$10,1))</f>
        <v>0</v>
      </c>
      <c r="E177" s="92">
        <f>SUMIFS(Debit!$G:$G,Debit!$B:$B,Lists!$A$2,Debit!$E:$E,Lists!$B$7,Debit!$C:$C,Lists!$E$3,Debit!$A:$A,"&gt;="&amp;Lists!$D$10,Debit!$A:$A,"&lt;"&amp;EDATE(Lists!$D$10,1))</f>
        <v>0</v>
      </c>
      <c r="F177" s="92">
        <f t="shared" si="1"/>
        <v>0</v>
      </c>
    </row>
    <row r="178" ht="15.75" customHeight="1">
      <c r="A178" s="9" t="s">
        <v>57</v>
      </c>
      <c r="B178" s="9" t="str">
        <f>Lists!$A$2</f>
        <v>Fibre Unit</v>
      </c>
      <c r="C178" s="9" t="str">
        <f>Lists!$B$8</f>
        <v>Union Bank - Current</v>
      </c>
      <c r="D178" s="92">
        <f>SUMIFS(Debit!$G:$G,Debit!$B:$B,Lists!$A$2,Debit!$E:$E,Lists!$B$8,Debit!$C:$C,Lists!$E$2,Debit!$A:$A,"&gt;="&amp;Lists!$D$10,Debit!$A:$A,"&lt;"&amp;EDATE(Lists!$D$10,1))</f>
        <v>0</v>
      </c>
      <c r="E178" s="92">
        <f>SUMIFS(Debit!$G:$G,Debit!$B:$B,Lists!$A$2,Debit!$E:$E,Lists!$B$8,Debit!$C:$C,Lists!$E$3,Debit!$A:$A,"&gt;="&amp;Lists!$D$10,Debit!$A:$A,"&lt;"&amp;EDATE(Lists!$D$10,1))</f>
        <v>0</v>
      </c>
      <c r="F178" s="92">
        <f t="shared" si="1"/>
        <v>0</v>
      </c>
    </row>
    <row r="179" ht="15.75" customHeight="1">
      <c r="A179" s="9" t="s">
        <v>57</v>
      </c>
      <c r="B179" s="9" t="str">
        <f>Lists!$A$3</f>
        <v>Chips Unit</v>
      </c>
      <c r="C179" s="9" t="str">
        <f>Lists!$B$2</f>
        <v>Shareholder - Jagadeesan</v>
      </c>
      <c r="D179" s="92">
        <f>SUMIFS(Debit!$G:$G,Debit!$B:$B,Lists!$A$3,Debit!$E:$E,Lists!$B$2,Debit!$C:$C,Lists!$E$2,Debit!$A:$A,"&gt;="&amp;Lists!$D$10,Debit!$A:$A,"&lt;"&amp;EDATE(Lists!$D$10,1))</f>
        <v>0</v>
      </c>
      <c r="E179" s="92">
        <f>SUMIFS(Debit!$G:$G,Debit!$B:$B,Lists!$A$3,Debit!$E:$E,Lists!$B$2,Debit!$C:$C,Lists!$E$3,Debit!$A:$A,"&gt;="&amp;Lists!$D$10,Debit!$A:$A,"&lt;"&amp;EDATE(Lists!$D$10,1))</f>
        <v>0</v>
      </c>
      <c r="F179" s="92">
        <f t="shared" si="1"/>
        <v>0</v>
      </c>
    </row>
    <row r="180" ht="15.75" customHeight="1">
      <c r="A180" s="9" t="s">
        <v>57</v>
      </c>
      <c r="B180" s="9" t="str">
        <f>Lists!$A$3</f>
        <v>Chips Unit</v>
      </c>
      <c r="C180" s="9" t="str">
        <f>Lists!$B$3</f>
        <v>Shareholder - Jagadeshwaran</v>
      </c>
      <c r="D180" s="92">
        <f>SUMIFS(Debit!$G:$G,Debit!$B:$B,Lists!$A$3,Debit!$E:$E,Lists!$B$3,Debit!$C:$C,Lists!$E$2,Debit!$A:$A,"&gt;="&amp;Lists!$D$10,Debit!$A:$A,"&lt;"&amp;EDATE(Lists!$D$10,1))</f>
        <v>0</v>
      </c>
      <c r="E180" s="92">
        <f>SUMIFS(Debit!$G:$G,Debit!$B:$B,Lists!$A$3,Debit!$E:$E,Lists!$B$3,Debit!$C:$C,Lists!$E$3,Debit!$A:$A,"&gt;="&amp;Lists!$D$10,Debit!$A:$A,"&lt;"&amp;EDATE(Lists!$D$10,1))</f>
        <v>0</v>
      </c>
      <c r="F180" s="92">
        <f t="shared" si="1"/>
        <v>0</v>
      </c>
    </row>
    <row r="181" ht="15.75" customHeight="1">
      <c r="A181" s="9" t="s">
        <v>57</v>
      </c>
      <c r="B181" s="9" t="str">
        <f>Lists!$A$3</f>
        <v>Chips Unit</v>
      </c>
      <c r="C181" s="9" t="str">
        <f>Lists!$B$4</f>
        <v>Shareholder - Vellingiri</v>
      </c>
      <c r="D181" s="92">
        <f>SUMIFS(Debit!$G:$G,Debit!$B:$B,Lists!$A$3,Debit!$E:$E,Lists!$B$4,Debit!$C:$C,Lists!$E$2,Debit!$A:$A,"&gt;="&amp;Lists!$D$10,Debit!$A:$A,"&lt;"&amp;EDATE(Lists!$D$10,1))</f>
        <v>0</v>
      </c>
      <c r="E181" s="92">
        <f>SUMIFS(Debit!$G:$G,Debit!$B:$B,Lists!$A$3,Debit!$E:$E,Lists!$B$4,Debit!$C:$C,Lists!$E$3,Debit!$A:$A,"&gt;="&amp;Lists!$D$10,Debit!$A:$A,"&lt;"&amp;EDATE(Lists!$D$10,1))</f>
        <v>0</v>
      </c>
      <c r="F181" s="92">
        <f t="shared" si="1"/>
        <v>0</v>
      </c>
    </row>
    <row r="182" ht="15.75" customHeight="1">
      <c r="A182" s="9" t="s">
        <v>57</v>
      </c>
      <c r="B182" s="9" t="str">
        <f>Lists!$A$3</f>
        <v>Chips Unit</v>
      </c>
      <c r="C182" s="9" t="str">
        <f>Lists!$B$5</f>
        <v>Vikas</v>
      </c>
      <c r="D182" s="92">
        <f>SUMIFS(Debit!$G:$G,Debit!$B:$B,Lists!$A$3,Debit!$E:$E,Lists!$B$5,Debit!$C:$C,Lists!$E$2,Debit!$A:$A,"&gt;="&amp;Lists!$D$10,Debit!$A:$A,"&lt;"&amp;EDATE(Lists!$D$10,1))</f>
        <v>0</v>
      </c>
      <c r="E182" s="92">
        <f>SUMIFS(Debit!$G:$G,Debit!$B:$B,Lists!$A$3,Debit!$E:$E,Lists!$B$5,Debit!$C:$C,Lists!$E$3,Debit!$A:$A,"&gt;="&amp;Lists!$D$10,Debit!$A:$A,"&lt;"&amp;EDATE(Lists!$D$10,1))</f>
        <v>0</v>
      </c>
      <c r="F182" s="92">
        <f t="shared" si="1"/>
        <v>0</v>
      </c>
    </row>
    <row r="183" ht="15.75" customHeight="1">
      <c r="A183" s="9" t="s">
        <v>57</v>
      </c>
      <c r="B183" s="9" t="str">
        <f>Lists!$A$3</f>
        <v>Chips Unit</v>
      </c>
      <c r="C183" s="9" t="str">
        <f>Lists!$B$6</f>
        <v>Payable to Alam</v>
      </c>
      <c r="D183" s="92">
        <f>SUMIFS(Debit!$G:$G,Debit!$B:$B,Lists!$A$3,Debit!$E:$E,Lists!$B$6,Debit!$C:$C,Lists!$E$2,Debit!$A:$A,"&gt;="&amp;Lists!$D$10,Debit!$A:$A,"&lt;"&amp;EDATE(Lists!$D$10,1))</f>
        <v>0</v>
      </c>
      <c r="E183" s="92">
        <f>SUMIFS(Debit!$G:$G,Debit!$B:$B,Lists!$A$3,Debit!$E:$E,Lists!$B$6,Debit!$C:$C,Lists!$E$3,Debit!$A:$A,"&gt;="&amp;Lists!$D$10,Debit!$A:$A,"&lt;"&amp;EDATE(Lists!$D$10,1))</f>
        <v>0</v>
      </c>
      <c r="F183" s="92">
        <f t="shared" si="1"/>
        <v>0</v>
      </c>
    </row>
    <row r="184" ht="15.75" customHeight="1">
      <c r="A184" s="9" t="s">
        <v>57</v>
      </c>
      <c r="B184" s="9" t="str">
        <f>Lists!$A$3</f>
        <v>Chips Unit</v>
      </c>
      <c r="C184" s="9" t="str">
        <f>Lists!$B$7</f>
        <v>Union Bank - CC</v>
      </c>
      <c r="D184" s="92">
        <f>SUMIFS(Debit!$G:$G,Debit!$B:$B,Lists!$A$3,Debit!$E:$E,Lists!$B$7,Debit!$C:$C,Lists!$E$2,Debit!$A:$A,"&gt;="&amp;Lists!$D$10,Debit!$A:$A,"&lt;"&amp;EDATE(Lists!$D$10,1))</f>
        <v>0</v>
      </c>
      <c r="E184" s="92">
        <f>SUMIFS(Debit!$G:$G,Debit!$B:$B,Lists!$A$3,Debit!$E:$E,Lists!$B$7,Debit!$C:$C,Lists!$E$3,Debit!$A:$A,"&gt;="&amp;Lists!$D$10,Debit!$A:$A,"&lt;"&amp;EDATE(Lists!$D$10,1))</f>
        <v>0</v>
      </c>
      <c r="F184" s="92">
        <f t="shared" si="1"/>
        <v>0</v>
      </c>
    </row>
    <row r="185" ht="15.75" customHeight="1">
      <c r="A185" s="9" t="s">
        <v>57</v>
      </c>
      <c r="B185" s="9" t="str">
        <f>Lists!$A$3</f>
        <v>Chips Unit</v>
      </c>
      <c r="C185" s="9" t="str">
        <f>Lists!$B$8</f>
        <v>Union Bank - Current</v>
      </c>
      <c r="D185" s="92">
        <f>SUMIFS(Debit!$G:$G,Debit!$B:$B,Lists!$A$3,Debit!$E:$E,Lists!$B$8,Debit!$C:$C,Lists!$E$2,Debit!$A:$A,"&gt;="&amp;Lists!$D$10,Debit!$A:$A,"&lt;"&amp;EDATE(Lists!$D$10,1))</f>
        <v>0</v>
      </c>
      <c r="E185" s="92">
        <f>SUMIFS(Debit!$G:$G,Debit!$B:$B,Lists!$A$3,Debit!$E:$E,Lists!$B$8,Debit!$C:$C,Lists!$E$3,Debit!$A:$A,"&gt;="&amp;Lists!$D$10,Debit!$A:$A,"&lt;"&amp;EDATE(Lists!$D$10,1))</f>
        <v>0</v>
      </c>
      <c r="F185" s="92">
        <f t="shared" si="1"/>
        <v>0</v>
      </c>
    </row>
    <row r="186" ht="15.75" customHeight="1">
      <c r="A186" s="9" t="s">
        <v>57</v>
      </c>
      <c r="B186" s="9" t="str">
        <f>Lists!$A$4</f>
        <v>Washing Unit</v>
      </c>
      <c r="C186" s="9" t="str">
        <f>Lists!$B$2</f>
        <v>Shareholder - Jagadeesan</v>
      </c>
      <c r="D186" s="92">
        <f>SUMIFS(Debit!$G:$G,Debit!$B:$B,Lists!$A$4,Debit!$E:$E,Lists!$B$2,Debit!$C:$C,Lists!$E$2,Debit!$A:$A,"&gt;="&amp;Lists!$D$10,Debit!$A:$A,"&lt;"&amp;EDATE(Lists!$D$10,1))</f>
        <v>0</v>
      </c>
      <c r="E186" s="92">
        <f>SUMIFS(Debit!$G:$G,Debit!$B:$B,Lists!$A$4,Debit!$E:$E,Lists!$B$2,Debit!$C:$C,Lists!$E$3,Debit!$A:$A,"&gt;="&amp;Lists!$D$10,Debit!$A:$A,"&lt;"&amp;EDATE(Lists!$D$10,1))</f>
        <v>0</v>
      </c>
      <c r="F186" s="92">
        <f t="shared" si="1"/>
        <v>0</v>
      </c>
    </row>
    <row r="187" ht="15.75" customHeight="1">
      <c r="A187" s="9" t="s">
        <v>57</v>
      </c>
      <c r="B187" s="9" t="str">
        <f>Lists!$A$4</f>
        <v>Washing Unit</v>
      </c>
      <c r="C187" s="9" t="str">
        <f>Lists!$B$3</f>
        <v>Shareholder - Jagadeshwaran</v>
      </c>
      <c r="D187" s="92">
        <f>SUMIFS(Debit!$G:$G,Debit!$B:$B,Lists!$A$4,Debit!$E:$E,Lists!$B$3,Debit!$C:$C,Lists!$E$2,Debit!$A:$A,"&gt;="&amp;Lists!$D$10,Debit!$A:$A,"&lt;"&amp;EDATE(Lists!$D$10,1))</f>
        <v>0</v>
      </c>
      <c r="E187" s="92">
        <f>SUMIFS(Debit!$G:$G,Debit!$B:$B,Lists!$A$4,Debit!$E:$E,Lists!$B$3,Debit!$C:$C,Lists!$E$3,Debit!$A:$A,"&gt;="&amp;Lists!$D$10,Debit!$A:$A,"&lt;"&amp;EDATE(Lists!$D$10,1))</f>
        <v>0</v>
      </c>
      <c r="F187" s="92">
        <f t="shared" si="1"/>
        <v>0</v>
      </c>
    </row>
    <row r="188" ht="15.75" customHeight="1">
      <c r="A188" s="9" t="s">
        <v>57</v>
      </c>
      <c r="B188" s="9" t="str">
        <f>Lists!$A$4</f>
        <v>Washing Unit</v>
      </c>
      <c r="C188" s="9" t="str">
        <f>Lists!$B$4</f>
        <v>Shareholder - Vellingiri</v>
      </c>
      <c r="D188" s="92">
        <f>SUMIFS(Debit!$G:$G,Debit!$B:$B,Lists!$A$4,Debit!$E:$E,Lists!$B$4,Debit!$C:$C,Lists!$E$2,Debit!$A:$A,"&gt;="&amp;Lists!$D$10,Debit!$A:$A,"&lt;"&amp;EDATE(Lists!$D$10,1))</f>
        <v>0</v>
      </c>
      <c r="E188" s="92">
        <f>SUMIFS(Debit!$G:$G,Debit!$B:$B,Lists!$A$4,Debit!$E:$E,Lists!$B$4,Debit!$C:$C,Lists!$E$3,Debit!$A:$A,"&gt;="&amp;Lists!$D$10,Debit!$A:$A,"&lt;"&amp;EDATE(Lists!$D$10,1))</f>
        <v>0</v>
      </c>
      <c r="F188" s="92">
        <f t="shared" si="1"/>
        <v>0</v>
      </c>
    </row>
    <row r="189" ht="15.75" customHeight="1">
      <c r="A189" s="9" t="s">
        <v>57</v>
      </c>
      <c r="B189" s="9" t="str">
        <f>Lists!$A$4</f>
        <v>Washing Unit</v>
      </c>
      <c r="C189" s="9" t="str">
        <f>Lists!$B$5</f>
        <v>Vikas</v>
      </c>
      <c r="D189" s="92">
        <f>SUMIFS(Debit!$G:$G,Debit!$B:$B,Lists!$A$4,Debit!$E:$E,Lists!$B$5,Debit!$C:$C,Lists!$E$2,Debit!$A:$A,"&gt;="&amp;Lists!$D$10,Debit!$A:$A,"&lt;"&amp;EDATE(Lists!$D$10,1))</f>
        <v>0</v>
      </c>
      <c r="E189" s="92">
        <f>SUMIFS(Debit!$G:$G,Debit!$B:$B,Lists!$A$4,Debit!$E:$E,Lists!$B$5,Debit!$C:$C,Lists!$E$3,Debit!$A:$A,"&gt;="&amp;Lists!$D$10,Debit!$A:$A,"&lt;"&amp;EDATE(Lists!$D$10,1))</f>
        <v>0</v>
      </c>
      <c r="F189" s="92">
        <f t="shared" si="1"/>
        <v>0</v>
      </c>
    </row>
    <row r="190" ht="15.75" customHeight="1">
      <c r="A190" s="9" t="s">
        <v>57</v>
      </c>
      <c r="B190" s="9" t="str">
        <f>Lists!$A$4</f>
        <v>Washing Unit</v>
      </c>
      <c r="C190" s="9" t="str">
        <f>Lists!$B$6</f>
        <v>Payable to Alam</v>
      </c>
      <c r="D190" s="92">
        <f>SUMIFS(Debit!$G:$G,Debit!$B:$B,Lists!$A$4,Debit!$E:$E,Lists!$B$6,Debit!$C:$C,Lists!$E$2,Debit!$A:$A,"&gt;="&amp;Lists!$D$10,Debit!$A:$A,"&lt;"&amp;EDATE(Lists!$D$10,1))</f>
        <v>0</v>
      </c>
      <c r="E190" s="92">
        <f>SUMIFS(Debit!$G:$G,Debit!$B:$B,Lists!$A$4,Debit!$E:$E,Lists!$B$6,Debit!$C:$C,Lists!$E$3,Debit!$A:$A,"&gt;="&amp;Lists!$D$10,Debit!$A:$A,"&lt;"&amp;EDATE(Lists!$D$10,1))</f>
        <v>0</v>
      </c>
      <c r="F190" s="92">
        <f t="shared" si="1"/>
        <v>0</v>
      </c>
    </row>
    <row r="191" ht="15.75" customHeight="1">
      <c r="A191" s="9" t="s">
        <v>57</v>
      </c>
      <c r="B191" s="9" t="str">
        <f>Lists!$A$4</f>
        <v>Washing Unit</v>
      </c>
      <c r="C191" s="9" t="str">
        <f>Lists!$B$7</f>
        <v>Union Bank - CC</v>
      </c>
      <c r="D191" s="92">
        <f>SUMIFS(Debit!$G:$G,Debit!$B:$B,Lists!$A$4,Debit!$E:$E,Lists!$B$7,Debit!$C:$C,Lists!$E$2,Debit!$A:$A,"&gt;="&amp;Lists!$D$10,Debit!$A:$A,"&lt;"&amp;EDATE(Lists!$D$10,1))</f>
        <v>0</v>
      </c>
      <c r="E191" s="92">
        <f>SUMIFS(Debit!$G:$G,Debit!$B:$B,Lists!$A$4,Debit!$E:$E,Lists!$B$7,Debit!$C:$C,Lists!$E$3,Debit!$A:$A,"&gt;="&amp;Lists!$D$10,Debit!$A:$A,"&lt;"&amp;EDATE(Lists!$D$10,1))</f>
        <v>0</v>
      </c>
      <c r="F191" s="92">
        <f t="shared" si="1"/>
        <v>0</v>
      </c>
    </row>
    <row r="192" ht="15.75" customHeight="1">
      <c r="A192" s="9" t="s">
        <v>57</v>
      </c>
      <c r="B192" s="9" t="str">
        <f>Lists!$A$4</f>
        <v>Washing Unit</v>
      </c>
      <c r="C192" s="9" t="str">
        <f>Lists!$B$8</f>
        <v>Union Bank - Current</v>
      </c>
      <c r="D192" s="92">
        <f>SUMIFS(Debit!$G:$G,Debit!$B:$B,Lists!$A$4,Debit!$E:$E,Lists!$B$8,Debit!$C:$C,Lists!$E$2,Debit!$A:$A,"&gt;="&amp;Lists!$D$10,Debit!$A:$A,"&lt;"&amp;EDATE(Lists!$D$10,1))</f>
        <v>0</v>
      </c>
      <c r="E192" s="92">
        <f>SUMIFS(Debit!$G:$G,Debit!$B:$B,Lists!$A$4,Debit!$E:$E,Lists!$B$8,Debit!$C:$C,Lists!$E$3,Debit!$A:$A,"&gt;="&amp;Lists!$D$10,Debit!$A:$A,"&lt;"&amp;EDATE(Lists!$D$10,1))</f>
        <v>0</v>
      </c>
      <c r="F192" s="92">
        <f t="shared" si="1"/>
        <v>0</v>
      </c>
    </row>
    <row r="193" ht="15.75" customHeight="1">
      <c r="A193" s="9" t="s">
        <v>58</v>
      </c>
      <c r="B193" s="9" t="str">
        <f>Lists!$A$2</f>
        <v>Fibre Unit</v>
      </c>
      <c r="C193" s="9" t="str">
        <f>Lists!$B$2</f>
        <v>Shareholder - Jagadeesan</v>
      </c>
      <c r="D193" s="92">
        <f>SUMIFS(Debit!$G:$G,Debit!$B:$B,Lists!$A$2,Debit!$E:$E,Lists!$B$2,Debit!$C:$C,Lists!$E$2,Debit!$A:$A,"&gt;="&amp;Lists!$D$11,Debit!$A:$A,"&lt;"&amp;EDATE(Lists!$D$11,1))</f>
        <v>0</v>
      </c>
      <c r="E193" s="92">
        <f>SUMIFS(Debit!$G:$G,Debit!$B:$B,Lists!$A$2,Debit!$E:$E,Lists!$B$2,Debit!$C:$C,Lists!$E$3,Debit!$A:$A,"&gt;="&amp;Lists!$D$11,Debit!$A:$A,"&lt;"&amp;EDATE(Lists!$D$11,1))</f>
        <v>0</v>
      </c>
      <c r="F193" s="92">
        <f t="shared" si="1"/>
        <v>0</v>
      </c>
    </row>
    <row r="194" ht="15.75" customHeight="1">
      <c r="A194" s="9" t="s">
        <v>58</v>
      </c>
      <c r="B194" s="9" t="str">
        <f>Lists!$A$2</f>
        <v>Fibre Unit</v>
      </c>
      <c r="C194" s="9" t="str">
        <f>Lists!$B$3</f>
        <v>Shareholder - Jagadeshwaran</v>
      </c>
      <c r="D194" s="92">
        <f>SUMIFS(Debit!$G:$G,Debit!$B:$B,Lists!$A$2,Debit!$E:$E,Lists!$B$3,Debit!$C:$C,Lists!$E$2,Debit!$A:$A,"&gt;="&amp;Lists!$D$11,Debit!$A:$A,"&lt;"&amp;EDATE(Lists!$D$11,1))</f>
        <v>0</v>
      </c>
      <c r="E194" s="92">
        <f>SUMIFS(Debit!$G:$G,Debit!$B:$B,Lists!$A$2,Debit!$E:$E,Lists!$B$3,Debit!$C:$C,Lists!$E$3,Debit!$A:$A,"&gt;="&amp;Lists!$D$11,Debit!$A:$A,"&lt;"&amp;EDATE(Lists!$D$11,1))</f>
        <v>0</v>
      </c>
      <c r="F194" s="92">
        <f t="shared" si="1"/>
        <v>0</v>
      </c>
    </row>
    <row r="195" ht="15.75" customHeight="1">
      <c r="A195" s="9" t="s">
        <v>58</v>
      </c>
      <c r="B195" s="9" t="str">
        <f>Lists!$A$2</f>
        <v>Fibre Unit</v>
      </c>
      <c r="C195" s="9" t="str">
        <f>Lists!$B$4</f>
        <v>Shareholder - Vellingiri</v>
      </c>
      <c r="D195" s="92">
        <f>SUMIFS(Debit!$G:$G,Debit!$B:$B,Lists!$A$2,Debit!$E:$E,Lists!$B$4,Debit!$C:$C,Lists!$E$2,Debit!$A:$A,"&gt;="&amp;Lists!$D$11,Debit!$A:$A,"&lt;"&amp;EDATE(Lists!$D$11,1))</f>
        <v>0</v>
      </c>
      <c r="E195" s="92">
        <f>SUMIFS(Debit!$G:$G,Debit!$B:$B,Lists!$A$2,Debit!$E:$E,Lists!$B$4,Debit!$C:$C,Lists!$E$3,Debit!$A:$A,"&gt;="&amp;Lists!$D$11,Debit!$A:$A,"&lt;"&amp;EDATE(Lists!$D$11,1))</f>
        <v>0</v>
      </c>
      <c r="F195" s="92">
        <f t="shared" si="1"/>
        <v>0</v>
      </c>
    </row>
    <row r="196" ht="15.75" customHeight="1">
      <c r="A196" s="9" t="s">
        <v>58</v>
      </c>
      <c r="B196" s="9" t="str">
        <f>Lists!$A$2</f>
        <v>Fibre Unit</v>
      </c>
      <c r="C196" s="9" t="str">
        <f>Lists!$B$5</f>
        <v>Vikas</v>
      </c>
      <c r="D196" s="92">
        <f>SUMIFS(Debit!$G:$G,Debit!$B:$B,Lists!$A$2,Debit!$E:$E,Lists!$B$5,Debit!$C:$C,Lists!$E$2,Debit!$A:$A,"&gt;="&amp;Lists!$D$11,Debit!$A:$A,"&lt;"&amp;EDATE(Lists!$D$11,1))</f>
        <v>0</v>
      </c>
      <c r="E196" s="92">
        <f>SUMIFS(Debit!$G:$G,Debit!$B:$B,Lists!$A$2,Debit!$E:$E,Lists!$B$5,Debit!$C:$C,Lists!$E$3,Debit!$A:$A,"&gt;="&amp;Lists!$D$11,Debit!$A:$A,"&lt;"&amp;EDATE(Lists!$D$11,1))</f>
        <v>0</v>
      </c>
      <c r="F196" s="92">
        <f t="shared" si="1"/>
        <v>0</v>
      </c>
    </row>
    <row r="197" ht="15.75" customHeight="1">
      <c r="A197" s="9" t="s">
        <v>58</v>
      </c>
      <c r="B197" s="9" t="str">
        <f>Lists!$A$2</f>
        <v>Fibre Unit</v>
      </c>
      <c r="C197" s="9" t="str">
        <f>Lists!$B$6</f>
        <v>Payable to Alam</v>
      </c>
      <c r="D197" s="92">
        <f>SUMIFS(Debit!$G:$G,Debit!$B:$B,Lists!$A$2,Debit!$E:$E,Lists!$B$6,Debit!$C:$C,Lists!$E$2,Debit!$A:$A,"&gt;="&amp;Lists!$D$11,Debit!$A:$A,"&lt;"&amp;EDATE(Lists!$D$11,1))</f>
        <v>0</v>
      </c>
      <c r="E197" s="92">
        <f>SUMIFS(Debit!$G:$G,Debit!$B:$B,Lists!$A$2,Debit!$E:$E,Lists!$B$6,Debit!$C:$C,Lists!$E$3,Debit!$A:$A,"&gt;="&amp;Lists!$D$11,Debit!$A:$A,"&lt;"&amp;EDATE(Lists!$D$11,1))</f>
        <v>0</v>
      </c>
      <c r="F197" s="92">
        <f t="shared" si="1"/>
        <v>0</v>
      </c>
    </row>
    <row r="198" ht="15.75" customHeight="1">
      <c r="A198" s="9" t="s">
        <v>58</v>
      </c>
      <c r="B198" s="9" t="str">
        <f>Lists!$A$2</f>
        <v>Fibre Unit</v>
      </c>
      <c r="C198" s="9" t="str">
        <f>Lists!$B$7</f>
        <v>Union Bank - CC</v>
      </c>
      <c r="D198" s="92">
        <f>SUMIFS(Debit!$G:$G,Debit!$B:$B,Lists!$A$2,Debit!$E:$E,Lists!$B$7,Debit!$C:$C,Lists!$E$2,Debit!$A:$A,"&gt;="&amp;Lists!$D$11,Debit!$A:$A,"&lt;"&amp;EDATE(Lists!$D$11,1))</f>
        <v>0</v>
      </c>
      <c r="E198" s="92">
        <f>SUMIFS(Debit!$G:$G,Debit!$B:$B,Lists!$A$2,Debit!$E:$E,Lists!$B$7,Debit!$C:$C,Lists!$E$3,Debit!$A:$A,"&gt;="&amp;Lists!$D$11,Debit!$A:$A,"&lt;"&amp;EDATE(Lists!$D$11,1))</f>
        <v>0</v>
      </c>
      <c r="F198" s="92">
        <f t="shared" si="1"/>
        <v>0</v>
      </c>
    </row>
    <row r="199" ht="15.75" customHeight="1">
      <c r="A199" s="9" t="s">
        <v>58</v>
      </c>
      <c r="B199" s="9" t="str">
        <f>Lists!$A$2</f>
        <v>Fibre Unit</v>
      </c>
      <c r="C199" s="9" t="str">
        <f>Lists!$B$8</f>
        <v>Union Bank - Current</v>
      </c>
      <c r="D199" s="92">
        <f>SUMIFS(Debit!$G:$G,Debit!$B:$B,Lists!$A$2,Debit!$E:$E,Lists!$B$8,Debit!$C:$C,Lists!$E$2,Debit!$A:$A,"&gt;="&amp;Lists!$D$11,Debit!$A:$A,"&lt;"&amp;EDATE(Lists!$D$11,1))</f>
        <v>0</v>
      </c>
      <c r="E199" s="92">
        <f>SUMIFS(Debit!$G:$G,Debit!$B:$B,Lists!$A$2,Debit!$E:$E,Lists!$B$8,Debit!$C:$C,Lists!$E$3,Debit!$A:$A,"&gt;="&amp;Lists!$D$11,Debit!$A:$A,"&lt;"&amp;EDATE(Lists!$D$11,1))</f>
        <v>0</v>
      </c>
      <c r="F199" s="92">
        <f t="shared" si="1"/>
        <v>0</v>
      </c>
    </row>
    <row r="200" ht="15.75" customHeight="1">
      <c r="A200" s="9" t="s">
        <v>58</v>
      </c>
      <c r="B200" s="9" t="str">
        <f>Lists!$A$3</f>
        <v>Chips Unit</v>
      </c>
      <c r="C200" s="9" t="str">
        <f>Lists!$B$2</f>
        <v>Shareholder - Jagadeesan</v>
      </c>
      <c r="D200" s="92">
        <f>SUMIFS(Debit!$G:$G,Debit!$B:$B,Lists!$A$3,Debit!$E:$E,Lists!$B$2,Debit!$C:$C,Lists!$E$2,Debit!$A:$A,"&gt;="&amp;Lists!$D$11,Debit!$A:$A,"&lt;"&amp;EDATE(Lists!$D$11,1))</f>
        <v>0</v>
      </c>
      <c r="E200" s="92">
        <f>SUMIFS(Debit!$G:$G,Debit!$B:$B,Lists!$A$3,Debit!$E:$E,Lists!$B$2,Debit!$C:$C,Lists!$E$3,Debit!$A:$A,"&gt;="&amp;Lists!$D$11,Debit!$A:$A,"&lt;"&amp;EDATE(Lists!$D$11,1))</f>
        <v>0</v>
      </c>
      <c r="F200" s="92">
        <f t="shared" si="1"/>
        <v>0</v>
      </c>
    </row>
    <row r="201" ht="15.75" customHeight="1">
      <c r="A201" s="9" t="s">
        <v>58</v>
      </c>
      <c r="B201" s="9" t="str">
        <f>Lists!$A$3</f>
        <v>Chips Unit</v>
      </c>
      <c r="C201" s="9" t="str">
        <f>Lists!$B$3</f>
        <v>Shareholder - Jagadeshwaran</v>
      </c>
      <c r="D201" s="92">
        <f>SUMIFS(Debit!$G:$G,Debit!$B:$B,Lists!$A$3,Debit!$E:$E,Lists!$B$3,Debit!$C:$C,Lists!$E$2,Debit!$A:$A,"&gt;="&amp;Lists!$D$11,Debit!$A:$A,"&lt;"&amp;EDATE(Lists!$D$11,1))</f>
        <v>0</v>
      </c>
      <c r="E201" s="92">
        <f>SUMIFS(Debit!$G:$G,Debit!$B:$B,Lists!$A$3,Debit!$E:$E,Lists!$B$3,Debit!$C:$C,Lists!$E$3,Debit!$A:$A,"&gt;="&amp;Lists!$D$11,Debit!$A:$A,"&lt;"&amp;EDATE(Lists!$D$11,1))</f>
        <v>0</v>
      </c>
      <c r="F201" s="92">
        <f t="shared" si="1"/>
        <v>0</v>
      </c>
    </row>
    <row r="202" ht="15.75" customHeight="1">
      <c r="A202" s="9" t="s">
        <v>58</v>
      </c>
      <c r="B202" s="9" t="str">
        <f>Lists!$A$3</f>
        <v>Chips Unit</v>
      </c>
      <c r="C202" s="9" t="str">
        <f>Lists!$B$4</f>
        <v>Shareholder - Vellingiri</v>
      </c>
      <c r="D202" s="92">
        <f>SUMIFS(Debit!$G:$G,Debit!$B:$B,Lists!$A$3,Debit!$E:$E,Lists!$B$4,Debit!$C:$C,Lists!$E$2,Debit!$A:$A,"&gt;="&amp;Lists!$D$11,Debit!$A:$A,"&lt;"&amp;EDATE(Lists!$D$11,1))</f>
        <v>0</v>
      </c>
      <c r="E202" s="92">
        <f>SUMIFS(Debit!$G:$G,Debit!$B:$B,Lists!$A$3,Debit!$E:$E,Lists!$B$4,Debit!$C:$C,Lists!$E$3,Debit!$A:$A,"&gt;="&amp;Lists!$D$11,Debit!$A:$A,"&lt;"&amp;EDATE(Lists!$D$11,1))</f>
        <v>0</v>
      </c>
      <c r="F202" s="92">
        <f t="shared" si="1"/>
        <v>0</v>
      </c>
    </row>
    <row r="203" ht="15.75" customHeight="1">
      <c r="A203" s="9" t="s">
        <v>58</v>
      </c>
      <c r="B203" s="9" t="str">
        <f>Lists!$A$3</f>
        <v>Chips Unit</v>
      </c>
      <c r="C203" s="9" t="str">
        <f>Lists!$B$5</f>
        <v>Vikas</v>
      </c>
      <c r="D203" s="92">
        <f>SUMIFS(Debit!$G:$G,Debit!$B:$B,Lists!$A$3,Debit!$E:$E,Lists!$B$5,Debit!$C:$C,Lists!$E$2,Debit!$A:$A,"&gt;="&amp;Lists!$D$11,Debit!$A:$A,"&lt;"&amp;EDATE(Lists!$D$11,1))</f>
        <v>0</v>
      </c>
      <c r="E203" s="92">
        <f>SUMIFS(Debit!$G:$G,Debit!$B:$B,Lists!$A$3,Debit!$E:$E,Lists!$B$5,Debit!$C:$C,Lists!$E$3,Debit!$A:$A,"&gt;="&amp;Lists!$D$11,Debit!$A:$A,"&lt;"&amp;EDATE(Lists!$D$11,1))</f>
        <v>0</v>
      </c>
      <c r="F203" s="92">
        <f t="shared" si="1"/>
        <v>0</v>
      </c>
    </row>
    <row r="204" ht="15.75" customHeight="1">
      <c r="A204" s="9" t="s">
        <v>58</v>
      </c>
      <c r="B204" s="9" t="str">
        <f>Lists!$A$3</f>
        <v>Chips Unit</v>
      </c>
      <c r="C204" s="9" t="str">
        <f>Lists!$B$6</f>
        <v>Payable to Alam</v>
      </c>
      <c r="D204" s="92">
        <f>SUMIFS(Debit!$G:$G,Debit!$B:$B,Lists!$A$3,Debit!$E:$E,Lists!$B$6,Debit!$C:$C,Lists!$E$2,Debit!$A:$A,"&gt;="&amp;Lists!$D$11,Debit!$A:$A,"&lt;"&amp;EDATE(Lists!$D$11,1))</f>
        <v>0</v>
      </c>
      <c r="E204" s="92">
        <f>SUMIFS(Debit!$G:$G,Debit!$B:$B,Lists!$A$3,Debit!$E:$E,Lists!$B$6,Debit!$C:$C,Lists!$E$3,Debit!$A:$A,"&gt;="&amp;Lists!$D$11,Debit!$A:$A,"&lt;"&amp;EDATE(Lists!$D$11,1))</f>
        <v>0</v>
      </c>
      <c r="F204" s="92">
        <f t="shared" si="1"/>
        <v>0</v>
      </c>
    </row>
    <row r="205" ht="15.75" customHeight="1">
      <c r="A205" s="9" t="s">
        <v>58</v>
      </c>
      <c r="B205" s="9" t="str">
        <f>Lists!$A$3</f>
        <v>Chips Unit</v>
      </c>
      <c r="C205" s="9" t="str">
        <f>Lists!$B$7</f>
        <v>Union Bank - CC</v>
      </c>
      <c r="D205" s="92">
        <f>SUMIFS(Debit!$G:$G,Debit!$B:$B,Lists!$A$3,Debit!$E:$E,Lists!$B$7,Debit!$C:$C,Lists!$E$2,Debit!$A:$A,"&gt;="&amp;Lists!$D$11,Debit!$A:$A,"&lt;"&amp;EDATE(Lists!$D$11,1))</f>
        <v>0</v>
      </c>
      <c r="E205" s="92">
        <f>SUMIFS(Debit!$G:$G,Debit!$B:$B,Lists!$A$3,Debit!$E:$E,Lists!$B$7,Debit!$C:$C,Lists!$E$3,Debit!$A:$A,"&gt;="&amp;Lists!$D$11,Debit!$A:$A,"&lt;"&amp;EDATE(Lists!$D$11,1))</f>
        <v>0</v>
      </c>
      <c r="F205" s="92">
        <f t="shared" si="1"/>
        <v>0</v>
      </c>
    </row>
    <row r="206" ht="15.75" customHeight="1">
      <c r="A206" s="9" t="s">
        <v>58</v>
      </c>
      <c r="B206" s="9" t="str">
        <f>Lists!$A$3</f>
        <v>Chips Unit</v>
      </c>
      <c r="C206" s="9" t="str">
        <f>Lists!$B$8</f>
        <v>Union Bank - Current</v>
      </c>
      <c r="D206" s="92">
        <f>SUMIFS(Debit!$G:$G,Debit!$B:$B,Lists!$A$3,Debit!$E:$E,Lists!$B$8,Debit!$C:$C,Lists!$E$2,Debit!$A:$A,"&gt;="&amp;Lists!$D$11,Debit!$A:$A,"&lt;"&amp;EDATE(Lists!$D$11,1))</f>
        <v>0</v>
      </c>
      <c r="E206" s="92">
        <f>SUMIFS(Debit!$G:$G,Debit!$B:$B,Lists!$A$3,Debit!$E:$E,Lists!$B$8,Debit!$C:$C,Lists!$E$3,Debit!$A:$A,"&gt;="&amp;Lists!$D$11,Debit!$A:$A,"&lt;"&amp;EDATE(Lists!$D$11,1))</f>
        <v>0</v>
      </c>
      <c r="F206" s="92">
        <f t="shared" si="1"/>
        <v>0</v>
      </c>
    </row>
    <row r="207" ht="15.75" customHeight="1">
      <c r="A207" s="9" t="s">
        <v>58</v>
      </c>
      <c r="B207" s="9" t="str">
        <f>Lists!$A$4</f>
        <v>Washing Unit</v>
      </c>
      <c r="C207" s="9" t="str">
        <f>Lists!$B$2</f>
        <v>Shareholder - Jagadeesan</v>
      </c>
      <c r="D207" s="92">
        <f>SUMIFS(Debit!$G:$G,Debit!$B:$B,Lists!$A$4,Debit!$E:$E,Lists!$B$2,Debit!$C:$C,Lists!$E$2,Debit!$A:$A,"&gt;="&amp;Lists!$D$11,Debit!$A:$A,"&lt;"&amp;EDATE(Lists!$D$11,1))</f>
        <v>0</v>
      </c>
      <c r="E207" s="92">
        <f>SUMIFS(Debit!$G:$G,Debit!$B:$B,Lists!$A$4,Debit!$E:$E,Lists!$B$2,Debit!$C:$C,Lists!$E$3,Debit!$A:$A,"&gt;="&amp;Lists!$D$11,Debit!$A:$A,"&lt;"&amp;EDATE(Lists!$D$11,1))</f>
        <v>0</v>
      </c>
      <c r="F207" s="92">
        <f t="shared" si="1"/>
        <v>0</v>
      </c>
    </row>
    <row r="208" ht="15.75" customHeight="1">
      <c r="A208" s="9" t="s">
        <v>58</v>
      </c>
      <c r="B208" s="9" t="str">
        <f>Lists!$A$4</f>
        <v>Washing Unit</v>
      </c>
      <c r="C208" s="9" t="str">
        <f>Lists!$B$3</f>
        <v>Shareholder - Jagadeshwaran</v>
      </c>
      <c r="D208" s="92">
        <f>SUMIFS(Debit!$G:$G,Debit!$B:$B,Lists!$A$4,Debit!$E:$E,Lists!$B$3,Debit!$C:$C,Lists!$E$2,Debit!$A:$A,"&gt;="&amp;Lists!$D$11,Debit!$A:$A,"&lt;"&amp;EDATE(Lists!$D$11,1))</f>
        <v>0</v>
      </c>
      <c r="E208" s="92">
        <f>SUMIFS(Debit!$G:$G,Debit!$B:$B,Lists!$A$4,Debit!$E:$E,Lists!$B$3,Debit!$C:$C,Lists!$E$3,Debit!$A:$A,"&gt;="&amp;Lists!$D$11,Debit!$A:$A,"&lt;"&amp;EDATE(Lists!$D$11,1))</f>
        <v>0</v>
      </c>
      <c r="F208" s="92">
        <f t="shared" si="1"/>
        <v>0</v>
      </c>
    </row>
    <row r="209" ht="15.75" customHeight="1">
      <c r="A209" s="9" t="s">
        <v>58</v>
      </c>
      <c r="B209" s="9" t="str">
        <f>Lists!$A$4</f>
        <v>Washing Unit</v>
      </c>
      <c r="C209" s="9" t="str">
        <f>Lists!$B$4</f>
        <v>Shareholder - Vellingiri</v>
      </c>
      <c r="D209" s="92">
        <f>SUMIFS(Debit!$G:$G,Debit!$B:$B,Lists!$A$4,Debit!$E:$E,Lists!$B$4,Debit!$C:$C,Lists!$E$2,Debit!$A:$A,"&gt;="&amp;Lists!$D$11,Debit!$A:$A,"&lt;"&amp;EDATE(Lists!$D$11,1))</f>
        <v>0</v>
      </c>
      <c r="E209" s="92">
        <f>SUMIFS(Debit!$G:$G,Debit!$B:$B,Lists!$A$4,Debit!$E:$E,Lists!$B$4,Debit!$C:$C,Lists!$E$3,Debit!$A:$A,"&gt;="&amp;Lists!$D$11,Debit!$A:$A,"&lt;"&amp;EDATE(Lists!$D$11,1))</f>
        <v>0</v>
      </c>
      <c r="F209" s="92">
        <f t="shared" si="1"/>
        <v>0</v>
      </c>
    </row>
    <row r="210" ht="15.75" customHeight="1">
      <c r="A210" s="9" t="s">
        <v>58</v>
      </c>
      <c r="B210" s="9" t="str">
        <f>Lists!$A$4</f>
        <v>Washing Unit</v>
      </c>
      <c r="C210" s="9" t="str">
        <f>Lists!$B$5</f>
        <v>Vikas</v>
      </c>
      <c r="D210" s="92">
        <f>SUMIFS(Debit!$G:$G,Debit!$B:$B,Lists!$A$4,Debit!$E:$E,Lists!$B$5,Debit!$C:$C,Lists!$E$2,Debit!$A:$A,"&gt;="&amp;Lists!$D$11,Debit!$A:$A,"&lt;"&amp;EDATE(Lists!$D$11,1))</f>
        <v>0</v>
      </c>
      <c r="E210" s="92">
        <f>SUMIFS(Debit!$G:$G,Debit!$B:$B,Lists!$A$4,Debit!$E:$E,Lists!$B$5,Debit!$C:$C,Lists!$E$3,Debit!$A:$A,"&gt;="&amp;Lists!$D$11,Debit!$A:$A,"&lt;"&amp;EDATE(Lists!$D$11,1))</f>
        <v>0</v>
      </c>
      <c r="F210" s="92">
        <f t="shared" si="1"/>
        <v>0</v>
      </c>
    </row>
    <row r="211" ht="15.75" customHeight="1">
      <c r="A211" s="9" t="s">
        <v>58</v>
      </c>
      <c r="B211" s="9" t="str">
        <f>Lists!$A$4</f>
        <v>Washing Unit</v>
      </c>
      <c r="C211" s="9" t="str">
        <f>Lists!$B$6</f>
        <v>Payable to Alam</v>
      </c>
      <c r="D211" s="92">
        <f>SUMIFS(Debit!$G:$G,Debit!$B:$B,Lists!$A$4,Debit!$E:$E,Lists!$B$6,Debit!$C:$C,Lists!$E$2,Debit!$A:$A,"&gt;="&amp;Lists!$D$11,Debit!$A:$A,"&lt;"&amp;EDATE(Lists!$D$11,1))</f>
        <v>0</v>
      </c>
      <c r="E211" s="92">
        <f>SUMIFS(Debit!$G:$G,Debit!$B:$B,Lists!$A$4,Debit!$E:$E,Lists!$B$6,Debit!$C:$C,Lists!$E$3,Debit!$A:$A,"&gt;="&amp;Lists!$D$11,Debit!$A:$A,"&lt;"&amp;EDATE(Lists!$D$11,1))</f>
        <v>0</v>
      </c>
      <c r="F211" s="92">
        <f t="shared" si="1"/>
        <v>0</v>
      </c>
    </row>
    <row r="212" ht="15.75" customHeight="1">
      <c r="A212" s="9" t="s">
        <v>58</v>
      </c>
      <c r="B212" s="9" t="str">
        <f>Lists!$A$4</f>
        <v>Washing Unit</v>
      </c>
      <c r="C212" s="9" t="str">
        <f>Lists!$B$7</f>
        <v>Union Bank - CC</v>
      </c>
      <c r="D212" s="92">
        <f>SUMIFS(Debit!$G:$G,Debit!$B:$B,Lists!$A$4,Debit!$E:$E,Lists!$B$7,Debit!$C:$C,Lists!$E$2,Debit!$A:$A,"&gt;="&amp;Lists!$D$11,Debit!$A:$A,"&lt;"&amp;EDATE(Lists!$D$11,1))</f>
        <v>0</v>
      </c>
      <c r="E212" s="92">
        <f>SUMIFS(Debit!$G:$G,Debit!$B:$B,Lists!$A$4,Debit!$E:$E,Lists!$B$7,Debit!$C:$C,Lists!$E$3,Debit!$A:$A,"&gt;="&amp;Lists!$D$11,Debit!$A:$A,"&lt;"&amp;EDATE(Lists!$D$11,1))</f>
        <v>0</v>
      </c>
      <c r="F212" s="92">
        <f t="shared" si="1"/>
        <v>0</v>
      </c>
    </row>
    <row r="213" ht="15.75" customHeight="1">
      <c r="A213" s="9" t="s">
        <v>58</v>
      </c>
      <c r="B213" s="9" t="str">
        <f>Lists!$A$4</f>
        <v>Washing Unit</v>
      </c>
      <c r="C213" s="9" t="str">
        <f>Lists!$B$8</f>
        <v>Union Bank - Current</v>
      </c>
      <c r="D213" s="92">
        <f>SUMIFS(Debit!$G:$G,Debit!$B:$B,Lists!$A$4,Debit!$E:$E,Lists!$B$8,Debit!$C:$C,Lists!$E$2,Debit!$A:$A,"&gt;="&amp;Lists!$D$11,Debit!$A:$A,"&lt;"&amp;EDATE(Lists!$D$11,1))</f>
        <v>0</v>
      </c>
      <c r="E213" s="92">
        <f>SUMIFS(Debit!$G:$G,Debit!$B:$B,Lists!$A$4,Debit!$E:$E,Lists!$B$8,Debit!$C:$C,Lists!$E$3,Debit!$A:$A,"&gt;="&amp;Lists!$D$11,Debit!$A:$A,"&lt;"&amp;EDATE(Lists!$D$11,1))</f>
        <v>0</v>
      </c>
      <c r="F213" s="92">
        <f t="shared" si="1"/>
        <v>0</v>
      </c>
    </row>
    <row r="214" ht="15.75" customHeight="1">
      <c r="A214" s="9" t="s">
        <v>59</v>
      </c>
      <c r="B214" s="9" t="str">
        <f>Lists!$A$2</f>
        <v>Fibre Unit</v>
      </c>
      <c r="C214" s="9" t="str">
        <f>Lists!$B$2</f>
        <v>Shareholder - Jagadeesan</v>
      </c>
      <c r="D214" s="92">
        <f>SUMIFS(Debit!$G:$G,Debit!$B:$B,Lists!$A$2,Debit!$E:$E,Lists!$B$2,Debit!$C:$C,Lists!$E$2,Debit!$A:$A,"&gt;="&amp;Lists!$D$12,Debit!$A:$A,"&lt;"&amp;EDATE(Lists!$D$12,1))</f>
        <v>0</v>
      </c>
      <c r="E214" s="92">
        <f>SUMIFS(Debit!$G:$G,Debit!$B:$B,Lists!$A$2,Debit!$E:$E,Lists!$B$2,Debit!$C:$C,Lists!$E$3,Debit!$A:$A,"&gt;="&amp;Lists!$D$12,Debit!$A:$A,"&lt;"&amp;EDATE(Lists!$D$12,1))</f>
        <v>0</v>
      </c>
      <c r="F214" s="92">
        <f t="shared" si="1"/>
        <v>0</v>
      </c>
    </row>
    <row r="215" ht="15.75" customHeight="1">
      <c r="A215" s="9" t="s">
        <v>59</v>
      </c>
      <c r="B215" s="9" t="str">
        <f>Lists!$A$2</f>
        <v>Fibre Unit</v>
      </c>
      <c r="C215" s="9" t="str">
        <f>Lists!$B$3</f>
        <v>Shareholder - Jagadeshwaran</v>
      </c>
      <c r="D215" s="92">
        <f>SUMIFS(Debit!$G:$G,Debit!$B:$B,Lists!$A$2,Debit!$E:$E,Lists!$B$3,Debit!$C:$C,Lists!$E$2,Debit!$A:$A,"&gt;="&amp;Lists!$D$12,Debit!$A:$A,"&lt;"&amp;EDATE(Lists!$D$12,1))</f>
        <v>0</v>
      </c>
      <c r="E215" s="92">
        <f>SUMIFS(Debit!$G:$G,Debit!$B:$B,Lists!$A$2,Debit!$E:$E,Lists!$B$3,Debit!$C:$C,Lists!$E$3,Debit!$A:$A,"&gt;="&amp;Lists!$D$12,Debit!$A:$A,"&lt;"&amp;EDATE(Lists!$D$12,1))</f>
        <v>0</v>
      </c>
      <c r="F215" s="92">
        <f t="shared" si="1"/>
        <v>0</v>
      </c>
    </row>
    <row r="216" ht="15.75" customHeight="1">
      <c r="A216" s="9" t="s">
        <v>59</v>
      </c>
      <c r="B216" s="9" t="str">
        <f>Lists!$A$2</f>
        <v>Fibre Unit</v>
      </c>
      <c r="C216" s="9" t="str">
        <f>Lists!$B$4</f>
        <v>Shareholder - Vellingiri</v>
      </c>
      <c r="D216" s="92">
        <f>SUMIFS(Debit!$G:$G,Debit!$B:$B,Lists!$A$2,Debit!$E:$E,Lists!$B$4,Debit!$C:$C,Lists!$E$2,Debit!$A:$A,"&gt;="&amp;Lists!$D$12,Debit!$A:$A,"&lt;"&amp;EDATE(Lists!$D$12,1))</f>
        <v>0</v>
      </c>
      <c r="E216" s="92">
        <f>SUMIFS(Debit!$G:$G,Debit!$B:$B,Lists!$A$2,Debit!$E:$E,Lists!$B$4,Debit!$C:$C,Lists!$E$3,Debit!$A:$A,"&gt;="&amp;Lists!$D$12,Debit!$A:$A,"&lt;"&amp;EDATE(Lists!$D$12,1))</f>
        <v>0</v>
      </c>
      <c r="F216" s="92">
        <f t="shared" si="1"/>
        <v>0</v>
      </c>
    </row>
    <row r="217" ht="15.75" customHeight="1">
      <c r="A217" s="9" t="s">
        <v>59</v>
      </c>
      <c r="B217" s="9" t="str">
        <f>Lists!$A$2</f>
        <v>Fibre Unit</v>
      </c>
      <c r="C217" s="9" t="str">
        <f>Lists!$B$5</f>
        <v>Vikas</v>
      </c>
      <c r="D217" s="92">
        <f>SUMIFS(Debit!$G:$G,Debit!$B:$B,Lists!$A$2,Debit!$E:$E,Lists!$B$5,Debit!$C:$C,Lists!$E$2,Debit!$A:$A,"&gt;="&amp;Lists!$D$12,Debit!$A:$A,"&lt;"&amp;EDATE(Lists!$D$12,1))</f>
        <v>0</v>
      </c>
      <c r="E217" s="92">
        <f>SUMIFS(Debit!$G:$G,Debit!$B:$B,Lists!$A$2,Debit!$E:$E,Lists!$B$5,Debit!$C:$C,Lists!$E$3,Debit!$A:$A,"&gt;="&amp;Lists!$D$12,Debit!$A:$A,"&lt;"&amp;EDATE(Lists!$D$12,1))</f>
        <v>0</v>
      </c>
      <c r="F217" s="92">
        <f t="shared" si="1"/>
        <v>0</v>
      </c>
    </row>
    <row r="218" ht="15.75" customHeight="1">
      <c r="A218" s="9" t="s">
        <v>59</v>
      </c>
      <c r="B218" s="9" t="str">
        <f>Lists!$A$2</f>
        <v>Fibre Unit</v>
      </c>
      <c r="C218" s="9" t="str">
        <f>Lists!$B$6</f>
        <v>Payable to Alam</v>
      </c>
      <c r="D218" s="92">
        <f>SUMIFS(Debit!$G:$G,Debit!$B:$B,Lists!$A$2,Debit!$E:$E,Lists!$B$6,Debit!$C:$C,Lists!$E$2,Debit!$A:$A,"&gt;="&amp;Lists!$D$12,Debit!$A:$A,"&lt;"&amp;EDATE(Lists!$D$12,1))</f>
        <v>0</v>
      </c>
      <c r="E218" s="92">
        <f>SUMIFS(Debit!$G:$G,Debit!$B:$B,Lists!$A$2,Debit!$E:$E,Lists!$B$6,Debit!$C:$C,Lists!$E$3,Debit!$A:$A,"&gt;="&amp;Lists!$D$12,Debit!$A:$A,"&lt;"&amp;EDATE(Lists!$D$12,1))</f>
        <v>0</v>
      </c>
      <c r="F218" s="92">
        <f t="shared" si="1"/>
        <v>0</v>
      </c>
    </row>
    <row r="219" ht="15.75" customHeight="1">
      <c r="A219" s="9" t="s">
        <v>59</v>
      </c>
      <c r="B219" s="9" t="str">
        <f>Lists!$A$2</f>
        <v>Fibre Unit</v>
      </c>
      <c r="C219" s="9" t="str">
        <f>Lists!$B$7</f>
        <v>Union Bank - CC</v>
      </c>
      <c r="D219" s="92">
        <f>SUMIFS(Debit!$G:$G,Debit!$B:$B,Lists!$A$2,Debit!$E:$E,Lists!$B$7,Debit!$C:$C,Lists!$E$2,Debit!$A:$A,"&gt;="&amp;Lists!$D$12,Debit!$A:$A,"&lt;"&amp;EDATE(Lists!$D$12,1))</f>
        <v>0</v>
      </c>
      <c r="E219" s="92">
        <f>SUMIFS(Debit!$G:$G,Debit!$B:$B,Lists!$A$2,Debit!$E:$E,Lists!$B$7,Debit!$C:$C,Lists!$E$3,Debit!$A:$A,"&gt;="&amp;Lists!$D$12,Debit!$A:$A,"&lt;"&amp;EDATE(Lists!$D$12,1))</f>
        <v>0</v>
      </c>
      <c r="F219" s="92">
        <f t="shared" si="1"/>
        <v>0</v>
      </c>
    </row>
    <row r="220" ht="15.75" customHeight="1">
      <c r="A220" s="9" t="s">
        <v>59</v>
      </c>
      <c r="B220" s="9" t="str">
        <f>Lists!$A$2</f>
        <v>Fibre Unit</v>
      </c>
      <c r="C220" s="9" t="str">
        <f>Lists!$B$8</f>
        <v>Union Bank - Current</v>
      </c>
      <c r="D220" s="92">
        <f>SUMIFS(Debit!$G:$G,Debit!$B:$B,Lists!$A$2,Debit!$E:$E,Lists!$B$8,Debit!$C:$C,Lists!$E$2,Debit!$A:$A,"&gt;="&amp;Lists!$D$12,Debit!$A:$A,"&lt;"&amp;EDATE(Lists!$D$12,1))</f>
        <v>0</v>
      </c>
      <c r="E220" s="92">
        <f>SUMIFS(Debit!$G:$G,Debit!$B:$B,Lists!$A$2,Debit!$E:$E,Lists!$B$8,Debit!$C:$C,Lists!$E$3,Debit!$A:$A,"&gt;="&amp;Lists!$D$12,Debit!$A:$A,"&lt;"&amp;EDATE(Lists!$D$12,1))</f>
        <v>0</v>
      </c>
      <c r="F220" s="92">
        <f t="shared" si="1"/>
        <v>0</v>
      </c>
    </row>
    <row r="221" ht="15.75" customHeight="1">
      <c r="A221" s="9" t="s">
        <v>59</v>
      </c>
      <c r="B221" s="9" t="str">
        <f>Lists!$A$3</f>
        <v>Chips Unit</v>
      </c>
      <c r="C221" s="9" t="str">
        <f>Lists!$B$2</f>
        <v>Shareholder - Jagadeesan</v>
      </c>
      <c r="D221" s="92">
        <f>SUMIFS(Debit!$G:$G,Debit!$B:$B,Lists!$A$3,Debit!$E:$E,Lists!$B$2,Debit!$C:$C,Lists!$E$2,Debit!$A:$A,"&gt;="&amp;Lists!$D$12,Debit!$A:$A,"&lt;"&amp;EDATE(Lists!$D$12,1))</f>
        <v>0</v>
      </c>
      <c r="E221" s="92">
        <f>SUMIFS(Debit!$G:$G,Debit!$B:$B,Lists!$A$3,Debit!$E:$E,Lists!$B$2,Debit!$C:$C,Lists!$E$3,Debit!$A:$A,"&gt;="&amp;Lists!$D$12,Debit!$A:$A,"&lt;"&amp;EDATE(Lists!$D$12,1))</f>
        <v>0</v>
      </c>
      <c r="F221" s="92">
        <f t="shared" si="1"/>
        <v>0</v>
      </c>
    </row>
    <row r="222" ht="15.75" customHeight="1">
      <c r="A222" s="9" t="s">
        <v>59</v>
      </c>
      <c r="B222" s="9" t="str">
        <f>Lists!$A$3</f>
        <v>Chips Unit</v>
      </c>
      <c r="C222" s="9" t="str">
        <f>Lists!$B$3</f>
        <v>Shareholder - Jagadeshwaran</v>
      </c>
      <c r="D222" s="92">
        <f>SUMIFS(Debit!$G:$G,Debit!$B:$B,Lists!$A$3,Debit!$E:$E,Lists!$B$3,Debit!$C:$C,Lists!$E$2,Debit!$A:$A,"&gt;="&amp;Lists!$D$12,Debit!$A:$A,"&lt;"&amp;EDATE(Lists!$D$12,1))</f>
        <v>0</v>
      </c>
      <c r="E222" s="92">
        <f>SUMIFS(Debit!$G:$G,Debit!$B:$B,Lists!$A$3,Debit!$E:$E,Lists!$B$3,Debit!$C:$C,Lists!$E$3,Debit!$A:$A,"&gt;="&amp;Lists!$D$12,Debit!$A:$A,"&lt;"&amp;EDATE(Lists!$D$12,1))</f>
        <v>0</v>
      </c>
      <c r="F222" s="92">
        <f t="shared" si="1"/>
        <v>0</v>
      </c>
    </row>
    <row r="223" ht="15.75" customHeight="1">
      <c r="A223" s="9" t="s">
        <v>59</v>
      </c>
      <c r="B223" s="9" t="str">
        <f>Lists!$A$3</f>
        <v>Chips Unit</v>
      </c>
      <c r="C223" s="9" t="str">
        <f>Lists!$B$4</f>
        <v>Shareholder - Vellingiri</v>
      </c>
      <c r="D223" s="92">
        <f>SUMIFS(Debit!$G:$G,Debit!$B:$B,Lists!$A$3,Debit!$E:$E,Lists!$B$4,Debit!$C:$C,Lists!$E$2,Debit!$A:$A,"&gt;="&amp;Lists!$D$12,Debit!$A:$A,"&lt;"&amp;EDATE(Lists!$D$12,1))</f>
        <v>0</v>
      </c>
      <c r="E223" s="92">
        <f>SUMIFS(Debit!$G:$G,Debit!$B:$B,Lists!$A$3,Debit!$E:$E,Lists!$B$4,Debit!$C:$C,Lists!$E$3,Debit!$A:$A,"&gt;="&amp;Lists!$D$12,Debit!$A:$A,"&lt;"&amp;EDATE(Lists!$D$12,1))</f>
        <v>0</v>
      </c>
      <c r="F223" s="92">
        <f t="shared" si="1"/>
        <v>0</v>
      </c>
    </row>
    <row r="224" ht="15.75" customHeight="1">
      <c r="A224" s="9" t="s">
        <v>59</v>
      </c>
      <c r="B224" s="9" t="str">
        <f>Lists!$A$3</f>
        <v>Chips Unit</v>
      </c>
      <c r="C224" s="9" t="str">
        <f>Lists!$B$5</f>
        <v>Vikas</v>
      </c>
      <c r="D224" s="92">
        <f>SUMIFS(Debit!$G:$G,Debit!$B:$B,Lists!$A$3,Debit!$E:$E,Lists!$B$5,Debit!$C:$C,Lists!$E$2,Debit!$A:$A,"&gt;="&amp;Lists!$D$12,Debit!$A:$A,"&lt;"&amp;EDATE(Lists!$D$12,1))</f>
        <v>0</v>
      </c>
      <c r="E224" s="92">
        <f>SUMIFS(Debit!$G:$G,Debit!$B:$B,Lists!$A$3,Debit!$E:$E,Lists!$B$5,Debit!$C:$C,Lists!$E$3,Debit!$A:$A,"&gt;="&amp;Lists!$D$12,Debit!$A:$A,"&lt;"&amp;EDATE(Lists!$D$12,1))</f>
        <v>0</v>
      </c>
      <c r="F224" s="92">
        <f t="shared" si="1"/>
        <v>0</v>
      </c>
    </row>
    <row r="225" ht="15.75" customHeight="1">
      <c r="A225" s="9" t="s">
        <v>59</v>
      </c>
      <c r="B225" s="9" t="str">
        <f>Lists!$A$3</f>
        <v>Chips Unit</v>
      </c>
      <c r="C225" s="9" t="str">
        <f>Lists!$B$6</f>
        <v>Payable to Alam</v>
      </c>
      <c r="D225" s="92">
        <f>SUMIFS(Debit!$G:$G,Debit!$B:$B,Lists!$A$3,Debit!$E:$E,Lists!$B$6,Debit!$C:$C,Lists!$E$2,Debit!$A:$A,"&gt;="&amp;Lists!$D$12,Debit!$A:$A,"&lt;"&amp;EDATE(Lists!$D$12,1))</f>
        <v>0</v>
      </c>
      <c r="E225" s="92">
        <f>SUMIFS(Debit!$G:$G,Debit!$B:$B,Lists!$A$3,Debit!$E:$E,Lists!$B$6,Debit!$C:$C,Lists!$E$3,Debit!$A:$A,"&gt;="&amp;Lists!$D$12,Debit!$A:$A,"&lt;"&amp;EDATE(Lists!$D$12,1))</f>
        <v>0</v>
      </c>
      <c r="F225" s="92">
        <f t="shared" si="1"/>
        <v>0</v>
      </c>
    </row>
    <row r="226" ht="15.75" customHeight="1">
      <c r="A226" s="9" t="s">
        <v>59</v>
      </c>
      <c r="B226" s="9" t="str">
        <f>Lists!$A$3</f>
        <v>Chips Unit</v>
      </c>
      <c r="C226" s="9" t="str">
        <f>Lists!$B$7</f>
        <v>Union Bank - CC</v>
      </c>
      <c r="D226" s="92">
        <f>SUMIFS(Debit!$G:$G,Debit!$B:$B,Lists!$A$3,Debit!$E:$E,Lists!$B$7,Debit!$C:$C,Lists!$E$2,Debit!$A:$A,"&gt;="&amp;Lists!$D$12,Debit!$A:$A,"&lt;"&amp;EDATE(Lists!$D$12,1))</f>
        <v>0</v>
      </c>
      <c r="E226" s="92">
        <f>SUMIFS(Debit!$G:$G,Debit!$B:$B,Lists!$A$3,Debit!$E:$E,Lists!$B$7,Debit!$C:$C,Lists!$E$3,Debit!$A:$A,"&gt;="&amp;Lists!$D$12,Debit!$A:$A,"&lt;"&amp;EDATE(Lists!$D$12,1))</f>
        <v>0</v>
      </c>
      <c r="F226" s="92">
        <f t="shared" si="1"/>
        <v>0</v>
      </c>
    </row>
    <row r="227" ht="15.75" customHeight="1">
      <c r="A227" s="9" t="s">
        <v>59</v>
      </c>
      <c r="B227" s="9" t="str">
        <f>Lists!$A$3</f>
        <v>Chips Unit</v>
      </c>
      <c r="C227" s="9" t="str">
        <f>Lists!$B$8</f>
        <v>Union Bank - Current</v>
      </c>
      <c r="D227" s="92">
        <f>SUMIFS(Debit!$G:$G,Debit!$B:$B,Lists!$A$3,Debit!$E:$E,Lists!$B$8,Debit!$C:$C,Lists!$E$2,Debit!$A:$A,"&gt;="&amp;Lists!$D$12,Debit!$A:$A,"&lt;"&amp;EDATE(Lists!$D$12,1))</f>
        <v>0</v>
      </c>
      <c r="E227" s="92">
        <f>SUMIFS(Debit!$G:$G,Debit!$B:$B,Lists!$A$3,Debit!$E:$E,Lists!$B$8,Debit!$C:$C,Lists!$E$3,Debit!$A:$A,"&gt;="&amp;Lists!$D$12,Debit!$A:$A,"&lt;"&amp;EDATE(Lists!$D$12,1))</f>
        <v>0</v>
      </c>
      <c r="F227" s="92">
        <f t="shared" si="1"/>
        <v>0</v>
      </c>
    </row>
    <row r="228" ht="15.75" customHeight="1">
      <c r="A228" s="9" t="s">
        <v>59</v>
      </c>
      <c r="B228" s="9" t="str">
        <f>Lists!$A$4</f>
        <v>Washing Unit</v>
      </c>
      <c r="C228" s="9" t="str">
        <f>Lists!$B$2</f>
        <v>Shareholder - Jagadeesan</v>
      </c>
      <c r="D228" s="92">
        <f>SUMIFS(Debit!$G:$G,Debit!$B:$B,Lists!$A$4,Debit!$E:$E,Lists!$B$2,Debit!$C:$C,Lists!$E$2,Debit!$A:$A,"&gt;="&amp;Lists!$D$12,Debit!$A:$A,"&lt;"&amp;EDATE(Lists!$D$12,1))</f>
        <v>0</v>
      </c>
      <c r="E228" s="92">
        <f>SUMIFS(Debit!$G:$G,Debit!$B:$B,Lists!$A$4,Debit!$E:$E,Lists!$B$2,Debit!$C:$C,Lists!$E$3,Debit!$A:$A,"&gt;="&amp;Lists!$D$12,Debit!$A:$A,"&lt;"&amp;EDATE(Lists!$D$12,1))</f>
        <v>0</v>
      </c>
      <c r="F228" s="92">
        <f t="shared" si="1"/>
        <v>0</v>
      </c>
    </row>
    <row r="229" ht="15.75" customHeight="1">
      <c r="A229" s="9" t="s">
        <v>59</v>
      </c>
      <c r="B229" s="9" t="str">
        <f>Lists!$A$4</f>
        <v>Washing Unit</v>
      </c>
      <c r="C229" s="9" t="str">
        <f>Lists!$B$3</f>
        <v>Shareholder - Jagadeshwaran</v>
      </c>
      <c r="D229" s="92">
        <f>SUMIFS(Debit!$G:$G,Debit!$B:$B,Lists!$A$4,Debit!$E:$E,Lists!$B$3,Debit!$C:$C,Lists!$E$2,Debit!$A:$A,"&gt;="&amp;Lists!$D$12,Debit!$A:$A,"&lt;"&amp;EDATE(Lists!$D$12,1))</f>
        <v>0</v>
      </c>
      <c r="E229" s="92">
        <f>SUMIFS(Debit!$G:$G,Debit!$B:$B,Lists!$A$4,Debit!$E:$E,Lists!$B$3,Debit!$C:$C,Lists!$E$3,Debit!$A:$A,"&gt;="&amp;Lists!$D$12,Debit!$A:$A,"&lt;"&amp;EDATE(Lists!$D$12,1))</f>
        <v>0</v>
      </c>
      <c r="F229" s="92">
        <f t="shared" si="1"/>
        <v>0</v>
      </c>
    </row>
    <row r="230" ht="15.75" customHeight="1">
      <c r="A230" s="9" t="s">
        <v>59</v>
      </c>
      <c r="B230" s="9" t="str">
        <f>Lists!$A$4</f>
        <v>Washing Unit</v>
      </c>
      <c r="C230" s="9" t="str">
        <f>Lists!$B$4</f>
        <v>Shareholder - Vellingiri</v>
      </c>
      <c r="D230" s="92">
        <f>SUMIFS(Debit!$G:$G,Debit!$B:$B,Lists!$A$4,Debit!$E:$E,Lists!$B$4,Debit!$C:$C,Lists!$E$2,Debit!$A:$A,"&gt;="&amp;Lists!$D$12,Debit!$A:$A,"&lt;"&amp;EDATE(Lists!$D$12,1))</f>
        <v>0</v>
      </c>
      <c r="E230" s="92">
        <f>SUMIFS(Debit!$G:$G,Debit!$B:$B,Lists!$A$4,Debit!$E:$E,Lists!$B$4,Debit!$C:$C,Lists!$E$3,Debit!$A:$A,"&gt;="&amp;Lists!$D$12,Debit!$A:$A,"&lt;"&amp;EDATE(Lists!$D$12,1))</f>
        <v>0</v>
      </c>
      <c r="F230" s="92">
        <f t="shared" si="1"/>
        <v>0</v>
      </c>
    </row>
    <row r="231" ht="15.75" customHeight="1">
      <c r="A231" s="9" t="s">
        <v>59</v>
      </c>
      <c r="B231" s="9" t="str">
        <f>Lists!$A$4</f>
        <v>Washing Unit</v>
      </c>
      <c r="C231" s="9" t="str">
        <f>Lists!$B$5</f>
        <v>Vikas</v>
      </c>
      <c r="D231" s="92">
        <f>SUMIFS(Debit!$G:$G,Debit!$B:$B,Lists!$A$4,Debit!$E:$E,Lists!$B$5,Debit!$C:$C,Lists!$E$2,Debit!$A:$A,"&gt;="&amp;Lists!$D$12,Debit!$A:$A,"&lt;"&amp;EDATE(Lists!$D$12,1))</f>
        <v>0</v>
      </c>
      <c r="E231" s="92">
        <f>SUMIFS(Debit!$G:$G,Debit!$B:$B,Lists!$A$4,Debit!$E:$E,Lists!$B$5,Debit!$C:$C,Lists!$E$3,Debit!$A:$A,"&gt;="&amp;Lists!$D$12,Debit!$A:$A,"&lt;"&amp;EDATE(Lists!$D$12,1))</f>
        <v>0</v>
      </c>
      <c r="F231" s="92">
        <f t="shared" si="1"/>
        <v>0</v>
      </c>
    </row>
    <row r="232" ht="15.75" customHeight="1">
      <c r="A232" s="9" t="s">
        <v>59</v>
      </c>
      <c r="B232" s="9" t="str">
        <f>Lists!$A$4</f>
        <v>Washing Unit</v>
      </c>
      <c r="C232" s="9" t="str">
        <f>Lists!$B$6</f>
        <v>Payable to Alam</v>
      </c>
      <c r="D232" s="92">
        <f>SUMIFS(Debit!$G:$G,Debit!$B:$B,Lists!$A$4,Debit!$E:$E,Lists!$B$6,Debit!$C:$C,Lists!$E$2,Debit!$A:$A,"&gt;="&amp;Lists!$D$12,Debit!$A:$A,"&lt;"&amp;EDATE(Lists!$D$12,1))</f>
        <v>0</v>
      </c>
      <c r="E232" s="92">
        <f>SUMIFS(Debit!$G:$G,Debit!$B:$B,Lists!$A$4,Debit!$E:$E,Lists!$B$6,Debit!$C:$C,Lists!$E$3,Debit!$A:$A,"&gt;="&amp;Lists!$D$12,Debit!$A:$A,"&lt;"&amp;EDATE(Lists!$D$12,1))</f>
        <v>0</v>
      </c>
      <c r="F232" s="92">
        <f t="shared" si="1"/>
        <v>0</v>
      </c>
    </row>
    <row r="233" ht="15.75" customHeight="1">
      <c r="A233" s="9" t="s">
        <v>59</v>
      </c>
      <c r="B233" s="9" t="str">
        <f>Lists!$A$4</f>
        <v>Washing Unit</v>
      </c>
      <c r="C233" s="9" t="str">
        <f>Lists!$B$7</f>
        <v>Union Bank - CC</v>
      </c>
      <c r="D233" s="92">
        <f>SUMIFS(Debit!$G:$G,Debit!$B:$B,Lists!$A$4,Debit!$E:$E,Lists!$B$7,Debit!$C:$C,Lists!$E$2,Debit!$A:$A,"&gt;="&amp;Lists!$D$12,Debit!$A:$A,"&lt;"&amp;EDATE(Lists!$D$12,1))</f>
        <v>0</v>
      </c>
      <c r="E233" s="92">
        <f>SUMIFS(Debit!$G:$G,Debit!$B:$B,Lists!$A$4,Debit!$E:$E,Lists!$B$7,Debit!$C:$C,Lists!$E$3,Debit!$A:$A,"&gt;="&amp;Lists!$D$12,Debit!$A:$A,"&lt;"&amp;EDATE(Lists!$D$12,1))</f>
        <v>0</v>
      </c>
      <c r="F233" s="92">
        <f t="shared" si="1"/>
        <v>0</v>
      </c>
    </row>
    <row r="234" ht="15.75" customHeight="1">
      <c r="A234" s="9" t="s">
        <v>59</v>
      </c>
      <c r="B234" s="9" t="str">
        <f>Lists!$A$4</f>
        <v>Washing Unit</v>
      </c>
      <c r="C234" s="9" t="str">
        <f>Lists!$B$8</f>
        <v>Union Bank - Current</v>
      </c>
      <c r="D234" s="92">
        <f>SUMIFS(Debit!$G:$G,Debit!$B:$B,Lists!$A$4,Debit!$E:$E,Lists!$B$8,Debit!$C:$C,Lists!$E$2,Debit!$A:$A,"&gt;="&amp;Lists!$D$12,Debit!$A:$A,"&lt;"&amp;EDATE(Lists!$D$12,1))</f>
        <v>0</v>
      </c>
      <c r="E234" s="92">
        <f>SUMIFS(Debit!$G:$G,Debit!$B:$B,Lists!$A$4,Debit!$E:$E,Lists!$B$8,Debit!$C:$C,Lists!$E$3,Debit!$A:$A,"&gt;="&amp;Lists!$D$12,Debit!$A:$A,"&lt;"&amp;EDATE(Lists!$D$12,1))</f>
        <v>0</v>
      </c>
      <c r="F234" s="92">
        <f t="shared" si="1"/>
        <v>0</v>
      </c>
    </row>
    <row r="235" ht="15.75" customHeight="1">
      <c r="A235" s="9" t="s">
        <v>60</v>
      </c>
      <c r="B235" s="9" t="str">
        <f>Lists!$A$2</f>
        <v>Fibre Unit</v>
      </c>
      <c r="C235" s="9" t="str">
        <f>Lists!$B$2</f>
        <v>Shareholder - Jagadeesan</v>
      </c>
      <c r="D235" s="92">
        <f>SUMIFS(Debit!$G:$G,Debit!$B:$B,Lists!$A$2,Debit!$E:$E,Lists!$B$2,Debit!$C:$C,Lists!$E$2,Debit!$A:$A,"&gt;="&amp;Lists!$D$13,Debit!$A:$A,"&lt;"&amp;EDATE(Lists!$D$13,1))</f>
        <v>0</v>
      </c>
      <c r="E235" s="92">
        <f>SUMIFS(Debit!$G:$G,Debit!$B:$B,Lists!$A$2,Debit!$E:$E,Lists!$B$2,Debit!$C:$C,Lists!$E$3,Debit!$A:$A,"&gt;="&amp;Lists!$D$13,Debit!$A:$A,"&lt;"&amp;EDATE(Lists!$D$13,1))</f>
        <v>0</v>
      </c>
      <c r="F235" s="92">
        <f t="shared" si="1"/>
        <v>0</v>
      </c>
    </row>
    <row r="236" ht="15.75" customHeight="1">
      <c r="A236" s="9" t="s">
        <v>60</v>
      </c>
      <c r="B236" s="9" t="str">
        <f>Lists!$A$2</f>
        <v>Fibre Unit</v>
      </c>
      <c r="C236" s="9" t="str">
        <f>Lists!$B$3</f>
        <v>Shareholder - Jagadeshwaran</v>
      </c>
      <c r="D236" s="92">
        <f>SUMIFS(Debit!$G:$G,Debit!$B:$B,Lists!$A$2,Debit!$E:$E,Lists!$B$3,Debit!$C:$C,Lists!$E$2,Debit!$A:$A,"&gt;="&amp;Lists!$D$13,Debit!$A:$A,"&lt;"&amp;EDATE(Lists!$D$13,1))</f>
        <v>0</v>
      </c>
      <c r="E236" s="92">
        <f>SUMIFS(Debit!$G:$G,Debit!$B:$B,Lists!$A$2,Debit!$E:$E,Lists!$B$3,Debit!$C:$C,Lists!$E$3,Debit!$A:$A,"&gt;="&amp;Lists!$D$13,Debit!$A:$A,"&lt;"&amp;EDATE(Lists!$D$13,1))</f>
        <v>0</v>
      </c>
      <c r="F236" s="92">
        <f t="shared" si="1"/>
        <v>0</v>
      </c>
    </row>
    <row r="237" ht="15.75" customHeight="1">
      <c r="A237" s="9" t="s">
        <v>60</v>
      </c>
      <c r="B237" s="9" t="str">
        <f>Lists!$A$2</f>
        <v>Fibre Unit</v>
      </c>
      <c r="C237" s="9" t="str">
        <f>Lists!$B$4</f>
        <v>Shareholder - Vellingiri</v>
      </c>
      <c r="D237" s="92">
        <f>SUMIFS(Debit!$G:$G,Debit!$B:$B,Lists!$A$2,Debit!$E:$E,Lists!$B$4,Debit!$C:$C,Lists!$E$2,Debit!$A:$A,"&gt;="&amp;Lists!$D$13,Debit!$A:$A,"&lt;"&amp;EDATE(Lists!$D$13,1))</f>
        <v>0</v>
      </c>
      <c r="E237" s="92">
        <f>SUMIFS(Debit!$G:$G,Debit!$B:$B,Lists!$A$2,Debit!$E:$E,Lists!$B$4,Debit!$C:$C,Lists!$E$3,Debit!$A:$A,"&gt;="&amp;Lists!$D$13,Debit!$A:$A,"&lt;"&amp;EDATE(Lists!$D$13,1))</f>
        <v>0</v>
      </c>
      <c r="F237" s="92">
        <f t="shared" si="1"/>
        <v>0</v>
      </c>
    </row>
    <row r="238" ht="15.75" customHeight="1">
      <c r="A238" s="9" t="s">
        <v>60</v>
      </c>
      <c r="B238" s="9" t="str">
        <f>Lists!$A$2</f>
        <v>Fibre Unit</v>
      </c>
      <c r="C238" s="9" t="str">
        <f>Lists!$B$5</f>
        <v>Vikas</v>
      </c>
      <c r="D238" s="92">
        <f>SUMIFS(Debit!$G:$G,Debit!$B:$B,Lists!$A$2,Debit!$E:$E,Lists!$B$5,Debit!$C:$C,Lists!$E$2,Debit!$A:$A,"&gt;="&amp;Lists!$D$13,Debit!$A:$A,"&lt;"&amp;EDATE(Lists!$D$13,1))</f>
        <v>0</v>
      </c>
      <c r="E238" s="92">
        <f>SUMIFS(Debit!$G:$G,Debit!$B:$B,Lists!$A$2,Debit!$E:$E,Lists!$B$5,Debit!$C:$C,Lists!$E$3,Debit!$A:$A,"&gt;="&amp;Lists!$D$13,Debit!$A:$A,"&lt;"&amp;EDATE(Lists!$D$13,1))</f>
        <v>0</v>
      </c>
      <c r="F238" s="92">
        <f t="shared" si="1"/>
        <v>0</v>
      </c>
    </row>
    <row r="239" ht="15.75" customHeight="1">
      <c r="A239" s="9" t="s">
        <v>60</v>
      </c>
      <c r="B239" s="9" t="str">
        <f>Lists!$A$2</f>
        <v>Fibre Unit</v>
      </c>
      <c r="C239" s="9" t="str">
        <f>Lists!$B$6</f>
        <v>Payable to Alam</v>
      </c>
      <c r="D239" s="92">
        <f>SUMIFS(Debit!$G:$G,Debit!$B:$B,Lists!$A$2,Debit!$E:$E,Lists!$B$6,Debit!$C:$C,Lists!$E$2,Debit!$A:$A,"&gt;="&amp;Lists!$D$13,Debit!$A:$A,"&lt;"&amp;EDATE(Lists!$D$13,1))</f>
        <v>0</v>
      </c>
      <c r="E239" s="92">
        <f>SUMIFS(Debit!$G:$G,Debit!$B:$B,Lists!$A$2,Debit!$E:$E,Lists!$B$6,Debit!$C:$C,Lists!$E$3,Debit!$A:$A,"&gt;="&amp;Lists!$D$13,Debit!$A:$A,"&lt;"&amp;EDATE(Lists!$D$13,1))</f>
        <v>0</v>
      </c>
      <c r="F239" s="92">
        <f t="shared" si="1"/>
        <v>0</v>
      </c>
    </row>
    <row r="240" ht="15.75" customHeight="1">
      <c r="A240" s="9" t="s">
        <v>60</v>
      </c>
      <c r="B240" s="9" t="str">
        <f>Lists!$A$2</f>
        <v>Fibre Unit</v>
      </c>
      <c r="C240" s="9" t="str">
        <f>Lists!$B$7</f>
        <v>Union Bank - CC</v>
      </c>
      <c r="D240" s="92">
        <f>SUMIFS(Debit!$G:$G,Debit!$B:$B,Lists!$A$2,Debit!$E:$E,Lists!$B$7,Debit!$C:$C,Lists!$E$2,Debit!$A:$A,"&gt;="&amp;Lists!$D$13,Debit!$A:$A,"&lt;"&amp;EDATE(Lists!$D$13,1))</f>
        <v>0</v>
      </c>
      <c r="E240" s="92">
        <f>SUMIFS(Debit!$G:$G,Debit!$B:$B,Lists!$A$2,Debit!$E:$E,Lists!$B$7,Debit!$C:$C,Lists!$E$3,Debit!$A:$A,"&gt;="&amp;Lists!$D$13,Debit!$A:$A,"&lt;"&amp;EDATE(Lists!$D$13,1))</f>
        <v>0</v>
      </c>
      <c r="F240" s="92">
        <f t="shared" si="1"/>
        <v>0</v>
      </c>
    </row>
    <row r="241" ht="15.75" customHeight="1">
      <c r="A241" s="9" t="s">
        <v>60</v>
      </c>
      <c r="B241" s="9" t="str">
        <f>Lists!$A$2</f>
        <v>Fibre Unit</v>
      </c>
      <c r="C241" s="9" t="str">
        <f>Lists!$B$8</f>
        <v>Union Bank - Current</v>
      </c>
      <c r="D241" s="92">
        <f>SUMIFS(Debit!$G:$G,Debit!$B:$B,Lists!$A$2,Debit!$E:$E,Lists!$B$8,Debit!$C:$C,Lists!$E$2,Debit!$A:$A,"&gt;="&amp;Lists!$D$13,Debit!$A:$A,"&lt;"&amp;EDATE(Lists!$D$13,1))</f>
        <v>0</v>
      </c>
      <c r="E241" s="92">
        <f>SUMIFS(Debit!$G:$G,Debit!$B:$B,Lists!$A$2,Debit!$E:$E,Lists!$B$8,Debit!$C:$C,Lists!$E$3,Debit!$A:$A,"&gt;="&amp;Lists!$D$13,Debit!$A:$A,"&lt;"&amp;EDATE(Lists!$D$13,1))</f>
        <v>0</v>
      </c>
      <c r="F241" s="92">
        <f t="shared" si="1"/>
        <v>0</v>
      </c>
    </row>
    <row r="242" ht="15.75" customHeight="1">
      <c r="A242" s="9" t="s">
        <v>60</v>
      </c>
      <c r="B242" s="9" t="str">
        <f>Lists!$A$3</f>
        <v>Chips Unit</v>
      </c>
      <c r="C242" s="9" t="str">
        <f>Lists!$B$2</f>
        <v>Shareholder - Jagadeesan</v>
      </c>
      <c r="D242" s="92">
        <f>SUMIFS(Debit!$G:$G,Debit!$B:$B,Lists!$A$3,Debit!$E:$E,Lists!$B$2,Debit!$C:$C,Lists!$E$2,Debit!$A:$A,"&gt;="&amp;Lists!$D$13,Debit!$A:$A,"&lt;"&amp;EDATE(Lists!$D$13,1))</f>
        <v>0</v>
      </c>
      <c r="E242" s="92">
        <f>SUMIFS(Debit!$G:$G,Debit!$B:$B,Lists!$A$3,Debit!$E:$E,Lists!$B$2,Debit!$C:$C,Lists!$E$3,Debit!$A:$A,"&gt;="&amp;Lists!$D$13,Debit!$A:$A,"&lt;"&amp;EDATE(Lists!$D$13,1))</f>
        <v>0</v>
      </c>
      <c r="F242" s="92">
        <f t="shared" si="1"/>
        <v>0</v>
      </c>
    </row>
    <row r="243" ht="15.75" customHeight="1">
      <c r="A243" s="9" t="s">
        <v>60</v>
      </c>
      <c r="B243" s="9" t="str">
        <f>Lists!$A$3</f>
        <v>Chips Unit</v>
      </c>
      <c r="C243" s="9" t="str">
        <f>Lists!$B$3</f>
        <v>Shareholder - Jagadeshwaran</v>
      </c>
      <c r="D243" s="92">
        <f>SUMIFS(Debit!$G:$G,Debit!$B:$B,Lists!$A$3,Debit!$E:$E,Lists!$B$3,Debit!$C:$C,Lists!$E$2,Debit!$A:$A,"&gt;="&amp;Lists!$D$13,Debit!$A:$A,"&lt;"&amp;EDATE(Lists!$D$13,1))</f>
        <v>0</v>
      </c>
      <c r="E243" s="92">
        <f>SUMIFS(Debit!$G:$G,Debit!$B:$B,Lists!$A$3,Debit!$E:$E,Lists!$B$3,Debit!$C:$C,Lists!$E$3,Debit!$A:$A,"&gt;="&amp;Lists!$D$13,Debit!$A:$A,"&lt;"&amp;EDATE(Lists!$D$13,1))</f>
        <v>0</v>
      </c>
      <c r="F243" s="92">
        <f t="shared" si="1"/>
        <v>0</v>
      </c>
    </row>
    <row r="244" ht="15.75" customHeight="1">
      <c r="A244" s="9" t="s">
        <v>60</v>
      </c>
      <c r="B244" s="9" t="str">
        <f>Lists!$A$3</f>
        <v>Chips Unit</v>
      </c>
      <c r="C244" s="9" t="str">
        <f>Lists!$B$4</f>
        <v>Shareholder - Vellingiri</v>
      </c>
      <c r="D244" s="92">
        <f>SUMIFS(Debit!$G:$G,Debit!$B:$B,Lists!$A$3,Debit!$E:$E,Lists!$B$4,Debit!$C:$C,Lists!$E$2,Debit!$A:$A,"&gt;="&amp;Lists!$D$13,Debit!$A:$A,"&lt;"&amp;EDATE(Lists!$D$13,1))</f>
        <v>0</v>
      </c>
      <c r="E244" s="92">
        <f>SUMIFS(Debit!$G:$G,Debit!$B:$B,Lists!$A$3,Debit!$E:$E,Lists!$B$4,Debit!$C:$C,Lists!$E$3,Debit!$A:$A,"&gt;="&amp;Lists!$D$13,Debit!$A:$A,"&lt;"&amp;EDATE(Lists!$D$13,1))</f>
        <v>0</v>
      </c>
      <c r="F244" s="92">
        <f t="shared" si="1"/>
        <v>0</v>
      </c>
    </row>
    <row r="245" ht="15.75" customHeight="1">
      <c r="A245" s="9" t="s">
        <v>60</v>
      </c>
      <c r="B245" s="9" t="str">
        <f>Lists!$A$3</f>
        <v>Chips Unit</v>
      </c>
      <c r="C245" s="9" t="str">
        <f>Lists!$B$5</f>
        <v>Vikas</v>
      </c>
      <c r="D245" s="92">
        <f>SUMIFS(Debit!$G:$G,Debit!$B:$B,Lists!$A$3,Debit!$E:$E,Lists!$B$5,Debit!$C:$C,Lists!$E$2,Debit!$A:$A,"&gt;="&amp;Lists!$D$13,Debit!$A:$A,"&lt;"&amp;EDATE(Lists!$D$13,1))</f>
        <v>0</v>
      </c>
      <c r="E245" s="92">
        <f>SUMIFS(Debit!$G:$G,Debit!$B:$B,Lists!$A$3,Debit!$E:$E,Lists!$B$5,Debit!$C:$C,Lists!$E$3,Debit!$A:$A,"&gt;="&amp;Lists!$D$13,Debit!$A:$A,"&lt;"&amp;EDATE(Lists!$D$13,1))</f>
        <v>0</v>
      </c>
      <c r="F245" s="92">
        <f t="shared" si="1"/>
        <v>0</v>
      </c>
    </row>
    <row r="246" ht="15.75" customHeight="1">
      <c r="A246" s="9" t="s">
        <v>60</v>
      </c>
      <c r="B246" s="9" t="str">
        <f>Lists!$A$3</f>
        <v>Chips Unit</v>
      </c>
      <c r="C246" s="9" t="str">
        <f>Lists!$B$6</f>
        <v>Payable to Alam</v>
      </c>
      <c r="D246" s="92">
        <f>SUMIFS(Debit!$G:$G,Debit!$B:$B,Lists!$A$3,Debit!$E:$E,Lists!$B$6,Debit!$C:$C,Lists!$E$2,Debit!$A:$A,"&gt;="&amp;Lists!$D$13,Debit!$A:$A,"&lt;"&amp;EDATE(Lists!$D$13,1))</f>
        <v>0</v>
      </c>
      <c r="E246" s="92">
        <f>SUMIFS(Debit!$G:$G,Debit!$B:$B,Lists!$A$3,Debit!$E:$E,Lists!$B$6,Debit!$C:$C,Lists!$E$3,Debit!$A:$A,"&gt;="&amp;Lists!$D$13,Debit!$A:$A,"&lt;"&amp;EDATE(Lists!$D$13,1))</f>
        <v>0</v>
      </c>
      <c r="F246" s="92">
        <f t="shared" si="1"/>
        <v>0</v>
      </c>
    </row>
    <row r="247" ht="15.75" customHeight="1">
      <c r="A247" s="9" t="s">
        <v>60</v>
      </c>
      <c r="B247" s="9" t="str">
        <f>Lists!$A$3</f>
        <v>Chips Unit</v>
      </c>
      <c r="C247" s="9" t="str">
        <f>Lists!$B$7</f>
        <v>Union Bank - CC</v>
      </c>
      <c r="D247" s="92">
        <f>SUMIFS(Debit!$G:$G,Debit!$B:$B,Lists!$A$3,Debit!$E:$E,Lists!$B$7,Debit!$C:$C,Lists!$E$2,Debit!$A:$A,"&gt;="&amp;Lists!$D$13,Debit!$A:$A,"&lt;"&amp;EDATE(Lists!$D$13,1))</f>
        <v>0</v>
      </c>
      <c r="E247" s="92">
        <f>SUMIFS(Debit!$G:$G,Debit!$B:$B,Lists!$A$3,Debit!$E:$E,Lists!$B$7,Debit!$C:$C,Lists!$E$3,Debit!$A:$A,"&gt;="&amp;Lists!$D$13,Debit!$A:$A,"&lt;"&amp;EDATE(Lists!$D$13,1))</f>
        <v>0</v>
      </c>
      <c r="F247" s="92">
        <f t="shared" si="1"/>
        <v>0</v>
      </c>
    </row>
    <row r="248" ht="15.75" customHeight="1">
      <c r="A248" s="9" t="s">
        <v>60</v>
      </c>
      <c r="B248" s="9" t="str">
        <f>Lists!$A$3</f>
        <v>Chips Unit</v>
      </c>
      <c r="C248" s="9" t="str">
        <f>Lists!$B$8</f>
        <v>Union Bank - Current</v>
      </c>
      <c r="D248" s="92">
        <f>SUMIFS(Debit!$G:$G,Debit!$B:$B,Lists!$A$3,Debit!$E:$E,Lists!$B$8,Debit!$C:$C,Lists!$E$2,Debit!$A:$A,"&gt;="&amp;Lists!$D$13,Debit!$A:$A,"&lt;"&amp;EDATE(Lists!$D$13,1))</f>
        <v>0</v>
      </c>
      <c r="E248" s="92">
        <f>SUMIFS(Debit!$G:$G,Debit!$B:$B,Lists!$A$3,Debit!$E:$E,Lists!$B$8,Debit!$C:$C,Lists!$E$3,Debit!$A:$A,"&gt;="&amp;Lists!$D$13,Debit!$A:$A,"&lt;"&amp;EDATE(Lists!$D$13,1))</f>
        <v>0</v>
      </c>
      <c r="F248" s="92">
        <f t="shared" si="1"/>
        <v>0</v>
      </c>
    </row>
    <row r="249" ht="15.75" customHeight="1">
      <c r="A249" s="9" t="s">
        <v>60</v>
      </c>
      <c r="B249" s="9" t="str">
        <f>Lists!$A$4</f>
        <v>Washing Unit</v>
      </c>
      <c r="C249" s="9" t="str">
        <f>Lists!$B$2</f>
        <v>Shareholder - Jagadeesan</v>
      </c>
      <c r="D249" s="92">
        <f>SUMIFS(Debit!$G:$G,Debit!$B:$B,Lists!$A$4,Debit!$E:$E,Lists!$B$2,Debit!$C:$C,Lists!$E$2,Debit!$A:$A,"&gt;="&amp;Lists!$D$13,Debit!$A:$A,"&lt;"&amp;EDATE(Lists!$D$13,1))</f>
        <v>0</v>
      </c>
      <c r="E249" s="92">
        <f>SUMIFS(Debit!$G:$G,Debit!$B:$B,Lists!$A$4,Debit!$E:$E,Lists!$B$2,Debit!$C:$C,Lists!$E$3,Debit!$A:$A,"&gt;="&amp;Lists!$D$13,Debit!$A:$A,"&lt;"&amp;EDATE(Lists!$D$13,1))</f>
        <v>0</v>
      </c>
      <c r="F249" s="92">
        <f t="shared" si="1"/>
        <v>0</v>
      </c>
    </row>
    <row r="250" ht="15.75" customHeight="1">
      <c r="A250" s="9" t="s">
        <v>60</v>
      </c>
      <c r="B250" s="9" t="str">
        <f>Lists!$A$4</f>
        <v>Washing Unit</v>
      </c>
      <c r="C250" s="9" t="str">
        <f>Lists!$B$3</f>
        <v>Shareholder - Jagadeshwaran</v>
      </c>
      <c r="D250" s="92">
        <f>SUMIFS(Debit!$G:$G,Debit!$B:$B,Lists!$A$4,Debit!$E:$E,Lists!$B$3,Debit!$C:$C,Lists!$E$2,Debit!$A:$A,"&gt;="&amp;Lists!$D$13,Debit!$A:$A,"&lt;"&amp;EDATE(Lists!$D$13,1))</f>
        <v>0</v>
      </c>
      <c r="E250" s="92">
        <f>SUMIFS(Debit!$G:$G,Debit!$B:$B,Lists!$A$4,Debit!$E:$E,Lists!$B$3,Debit!$C:$C,Lists!$E$3,Debit!$A:$A,"&gt;="&amp;Lists!$D$13,Debit!$A:$A,"&lt;"&amp;EDATE(Lists!$D$13,1))</f>
        <v>0</v>
      </c>
      <c r="F250" s="92">
        <f t="shared" si="1"/>
        <v>0</v>
      </c>
    </row>
    <row r="251" ht="15.75" customHeight="1">
      <c r="A251" s="9" t="s">
        <v>60</v>
      </c>
      <c r="B251" s="9" t="str">
        <f>Lists!$A$4</f>
        <v>Washing Unit</v>
      </c>
      <c r="C251" s="9" t="str">
        <f>Lists!$B$4</f>
        <v>Shareholder - Vellingiri</v>
      </c>
      <c r="D251" s="92">
        <f>SUMIFS(Debit!$G:$G,Debit!$B:$B,Lists!$A$4,Debit!$E:$E,Lists!$B$4,Debit!$C:$C,Lists!$E$2,Debit!$A:$A,"&gt;="&amp;Lists!$D$13,Debit!$A:$A,"&lt;"&amp;EDATE(Lists!$D$13,1))</f>
        <v>0</v>
      </c>
      <c r="E251" s="92">
        <f>SUMIFS(Debit!$G:$G,Debit!$B:$B,Lists!$A$4,Debit!$E:$E,Lists!$B$4,Debit!$C:$C,Lists!$E$3,Debit!$A:$A,"&gt;="&amp;Lists!$D$13,Debit!$A:$A,"&lt;"&amp;EDATE(Lists!$D$13,1))</f>
        <v>0</v>
      </c>
      <c r="F251" s="92">
        <f t="shared" si="1"/>
        <v>0</v>
      </c>
    </row>
    <row r="252" ht="15.75" customHeight="1">
      <c r="A252" s="9" t="s">
        <v>60</v>
      </c>
      <c r="B252" s="9" t="str">
        <f>Lists!$A$4</f>
        <v>Washing Unit</v>
      </c>
      <c r="C252" s="9" t="str">
        <f>Lists!$B$5</f>
        <v>Vikas</v>
      </c>
      <c r="D252" s="92">
        <f>SUMIFS(Debit!$G:$G,Debit!$B:$B,Lists!$A$4,Debit!$E:$E,Lists!$B$5,Debit!$C:$C,Lists!$E$2,Debit!$A:$A,"&gt;="&amp;Lists!$D$13,Debit!$A:$A,"&lt;"&amp;EDATE(Lists!$D$13,1))</f>
        <v>0</v>
      </c>
      <c r="E252" s="92">
        <f>SUMIFS(Debit!$G:$G,Debit!$B:$B,Lists!$A$4,Debit!$E:$E,Lists!$B$5,Debit!$C:$C,Lists!$E$3,Debit!$A:$A,"&gt;="&amp;Lists!$D$13,Debit!$A:$A,"&lt;"&amp;EDATE(Lists!$D$13,1))</f>
        <v>0</v>
      </c>
      <c r="F252" s="92">
        <f t="shared" si="1"/>
        <v>0</v>
      </c>
    </row>
    <row r="253" ht="15.75" customHeight="1">
      <c r="A253" s="9" t="s">
        <v>60</v>
      </c>
      <c r="B253" s="9" t="str">
        <f>Lists!$A$4</f>
        <v>Washing Unit</v>
      </c>
      <c r="C253" s="9" t="str">
        <f>Lists!$B$6</f>
        <v>Payable to Alam</v>
      </c>
      <c r="D253" s="92">
        <f>SUMIFS(Debit!$G:$G,Debit!$B:$B,Lists!$A$4,Debit!$E:$E,Lists!$B$6,Debit!$C:$C,Lists!$E$2,Debit!$A:$A,"&gt;="&amp;Lists!$D$13,Debit!$A:$A,"&lt;"&amp;EDATE(Lists!$D$13,1))</f>
        <v>0</v>
      </c>
      <c r="E253" s="92">
        <f>SUMIFS(Debit!$G:$G,Debit!$B:$B,Lists!$A$4,Debit!$E:$E,Lists!$B$6,Debit!$C:$C,Lists!$E$3,Debit!$A:$A,"&gt;="&amp;Lists!$D$13,Debit!$A:$A,"&lt;"&amp;EDATE(Lists!$D$13,1))</f>
        <v>0</v>
      </c>
      <c r="F253" s="92">
        <f t="shared" si="1"/>
        <v>0</v>
      </c>
    </row>
    <row r="254" ht="15.75" customHeight="1">
      <c r="A254" s="9" t="s">
        <v>60</v>
      </c>
      <c r="B254" s="9" t="str">
        <f>Lists!$A$4</f>
        <v>Washing Unit</v>
      </c>
      <c r="C254" s="9" t="str">
        <f>Lists!$B$7</f>
        <v>Union Bank - CC</v>
      </c>
      <c r="D254" s="92">
        <f>SUMIFS(Debit!$G:$G,Debit!$B:$B,Lists!$A$4,Debit!$E:$E,Lists!$B$7,Debit!$C:$C,Lists!$E$2,Debit!$A:$A,"&gt;="&amp;Lists!$D$13,Debit!$A:$A,"&lt;"&amp;EDATE(Lists!$D$13,1))</f>
        <v>0</v>
      </c>
      <c r="E254" s="92">
        <f>SUMIFS(Debit!$G:$G,Debit!$B:$B,Lists!$A$4,Debit!$E:$E,Lists!$B$7,Debit!$C:$C,Lists!$E$3,Debit!$A:$A,"&gt;="&amp;Lists!$D$13,Debit!$A:$A,"&lt;"&amp;EDATE(Lists!$D$13,1))</f>
        <v>0</v>
      </c>
      <c r="F254" s="92">
        <f t="shared" si="1"/>
        <v>0</v>
      </c>
    </row>
    <row r="255" ht="15.75" customHeight="1">
      <c r="A255" s="9" t="s">
        <v>60</v>
      </c>
      <c r="B255" s="9" t="str">
        <f>Lists!$A$4</f>
        <v>Washing Unit</v>
      </c>
      <c r="C255" s="9" t="str">
        <f>Lists!$B$8</f>
        <v>Union Bank - Current</v>
      </c>
      <c r="D255" s="92">
        <f>SUMIFS(Debit!$G:$G,Debit!$B:$B,Lists!$A$4,Debit!$E:$E,Lists!$B$8,Debit!$C:$C,Lists!$E$2,Debit!$A:$A,"&gt;="&amp;Lists!$D$13,Debit!$A:$A,"&lt;"&amp;EDATE(Lists!$D$13,1))</f>
        <v>0</v>
      </c>
      <c r="E255" s="92">
        <f>SUMIFS(Debit!$G:$G,Debit!$B:$B,Lists!$A$4,Debit!$E:$E,Lists!$B$8,Debit!$C:$C,Lists!$E$3,Debit!$A:$A,"&gt;="&amp;Lists!$D$13,Debit!$A:$A,"&lt;"&amp;EDATE(Lists!$D$13,1))</f>
        <v>0</v>
      </c>
      <c r="F255" s="92">
        <f t="shared" si="1"/>
        <v>0</v>
      </c>
    </row>
    <row r="256" ht="15.75" customHeight="1"/>
    <row r="257" ht="15.75" customHeight="1">
      <c r="A257" s="91" t="s">
        <v>406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0"/>
    <col customWidth="1" min="2" max="2" width="14.0"/>
    <col customWidth="1" min="3" max="5" width="15.0"/>
    <col customWidth="1" min="6" max="6" width="14.0"/>
    <col customWidth="1" min="7" max="7" width="3.0"/>
    <col customWidth="1" min="8" max="8" width="15.0"/>
    <col customWidth="1" min="9" max="9" width="14.0"/>
    <col customWidth="1" min="10" max="10" width="8.71"/>
  </cols>
  <sheetData>
    <row r="1" ht="15.75" customHeight="1">
      <c r="A1" s="104" t="s">
        <v>379</v>
      </c>
      <c r="B1" s="75"/>
      <c r="C1" s="75"/>
      <c r="D1" s="75"/>
      <c r="E1" s="75"/>
      <c r="F1" s="75"/>
      <c r="G1" s="75"/>
      <c r="H1" s="75"/>
      <c r="I1" s="75"/>
      <c r="J1" s="75"/>
    </row>
    <row r="2" ht="15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ht="15.75" customHeight="1">
      <c r="A3" s="107" t="str">
        <f>Lists!$A$2</f>
        <v>Fibre Unit</v>
      </c>
      <c r="B3" s="75"/>
      <c r="C3" s="75"/>
      <c r="D3" s="75"/>
      <c r="E3" s="75"/>
      <c r="F3" s="75"/>
      <c r="G3" s="75"/>
      <c r="H3" s="75"/>
      <c r="I3" s="75"/>
      <c r="J3" s="75"/>
    </row>
    <row r="4" ht="15.75" customHeight="1">
      <c r="A4" s="108" t="s">
        <v>19</v>
      </c>
      <c r="B4" s="108" t="s">
        <v>388</v>
      </c>
      <c r="C4" s="108" t="s">
        <v>33</v>
      </c>
      <c r="D4" s="109" t="s">
        <v>390</v>
      </c>
      <c r="E4" s="109" t="s">
        <v>391</v>
      </c>
      <c r="F4" s="108" t="s">
        <v>150</v>
      </c>
      <c r="G4" s="75"/>
      <c r="H4" s="75"/>
      <c r="I4" s="75"/>
      <c r="J4" s="75"/>
    </row>
    <row r="5" ht="15.75" customHeight="1">
      <c r="A5" s="111" t="str">
        <f>Lists!$B$2</f>
        <v>Shareholder - Jagadeesan</v>
      </c>
      <c r="B5" s="112">
        <f>SUMIFS(Debit!$G:$G,Debit!$B:$B,Lists!$A$2,Debit!$E:$E,Lists!$B$2,Debit!$C:$C,Lists!$E$2)</f>
        <v>62160</v>
      </c>
      <c r="C5" s="112">
        <f>SUMIFS(Debit!$G:$G,Debit!$B:$B,Lists!$A$2,Debit!$E:$E,Lists!$B$2,Debit!$C:$C,Lists!$E$3)</f>
        <v>44197</v>
      </c>
      <c r="D5" s="112">
        <f>SUMIFS(Debit!$G:$G,Debit!$B:$B,Lists!$A$2,Debit!$E:$E,$A5,Debit!$C:$C,Lists!$E$4)</f>
        <v>0</v>
      </c>
      <c r="E5" s="112">
        <f>SUMIFS(Credit!$F:$F,Credit!$B:$B,Lists!$A$2,Credit!$D:$D,$A5)</f>
        <v>0</v>
      </c>
      <c r="F5" s="112">
        <f t="shared" ref="F5:F13" si="1">B5+C5+D5-E5</f>
        <v>106357</v>
      </c>
      <c r="G5" s="75"/>
      <c r="H5" s="75"/>
      <c r="I5" s="75"/>
      <c r="J5" s="75"/>
    </row>
    <row r="6" ht="15.75" customHeight="1">
      <c r="A6" s="111" t="str">
        <f>Lists!$B$3</f>
        <v>Shareholder - Jagadeshwaran</v>
      </c>
      <c r="B6" s="112">
        <f>SUMIFS(Debit!$G:$G,Debit!$B:$B,Lists!$A$2,Debit!$E:$E,Lists!$B$3,Debit!$C:$C,Lists!$E$2)</f>
        <v>0</v>
      </c>
      <c r="C6" s="112">
        <f>SUMIFS(Debit!$G:$G,Debit!$B:$B,Lists!$A$2,Debit!$E:$E,Lists!$B$3,Debit!$C:$C,Lists!$E$3)</f>
        <v>0</v>
      </c>
      <c r="D6" s="112">
        <f>SUMIFS(Debit!$G:$G,Debit!$B:$B,Lists!$A$2,Debit!$E:$E,$A6,Debit!$C:$C,Lists!$E$4)</f>
        <v>0</v>
      </c>
      <c r="E6" s="112">
        <f>SUMIFS(Credit!$F:$F,Credit!$B:$B,Lists!$A$2,Credit!$D:$D,$A6)</f>
        <v>0</v>
      </c>
      <c r="F6" s="112">
        <f t="shared" si="1"/>
        <v>0</v>
      </c>
      <c r="G6" s="75"/>
      <c r="H6" s="75"/>
      <c r="I6" s="75"/>
      <c r="J6" s="75"/>
    </row>
    <row r="7" ht="15.75" customHeight="1">
      <c r="A7" s="111" t="str">
        <f>Lists!$B$4</f>
        <v>Shareholder - Vellingiri</v>
      </c>
      <c r="B7" s="112">
        <f>SUMIFS(Debit!$G:$G,Debit!$B:$B,Lists!$A$2,Debit!$E:$E,Lists!$B$4,Debit!$C:$C,Lists!$E$2)</f>
        <v>0</v>
      </c>
      <c r="C7" s="112">
        <f>SUMIFS(Debit!$G:$G,Debit!$B:$B,Lists!$A$2,Debit!$E:$E,Lists!$B$4,Debit!$C:$C,Lists!$E$3)</f>
        <v>0</v>
      </c>
      <c r="D7" s="112">
        <f>SUMIFS(Debit!$G:$G,Debit!$B:$B,Lists!$A$2,Debit!$E:$E,$A7,Debit!$C:$C,Lists!$E$4)</f>
        <v>0</v>
      </c>
      <c r="E7" s="112">
        <f>SUMIFS(Credit!$F:$F,Credit!$B:$B,Lists!$A$2,Credit!$D:$D,$A7)</f>
        <v>0</v>
      </c>
      <c r="F7" s="112">
        <f t="shared" si="1"/>
        <v>0</v>
      </c>
      <c r="G7" s="75"/>
      <c r="H7" s="75"/>
      <c r="I7" s="75"/>
      <c r="J7" s="75"/>
    </row>
    <row r="8" ht="15.75" customHeight="1">
      <c r="A8" s="111" t="str">
        <f>Lists!$B$5</f>
        <v>Vikas</v>
      </c>
      <c r="B8" s="112">
        <f>SUMIFS(Debit!$G:$G,Debit!$B:$B,Lists!$A$2,Debit!$E:$E,Lists!$B$5,Debit!$C:$C,Lists!$E$2)</f>
        <v>192350</v>
      </c>
      <c r="C8" s="112">
        <f>SUMIFS(Debit!$G:$G,Debit!$B:$B,Lists!$A$2,Debit!$E:$E,Lists!$B$5,Debit!$C:$C,Lists!$E$3)</f>
        <v>0</v>
      </c>
      <c r="D8" s="112">
        <f>SUMIFS(Debit!$G:$G,Debit!$B:$B,Lists!$A$2,Debit!$E:$E,$A8,Debit!$C:$C,Lists!$E$4)</f>
        <v>0</v>
      </c>
      <c r="E8" s="112">
        <f>SUMIFS(Credit!$F:$F,Credit!$B:$B,Lists!$A$2,Credit!$D:$D,$A8)</f>
        <v>0</v>
      </c>
      <c r="F8" s="112">
        <f t="shared" si="1"/>
        <v>192350</v>
      </c>
      <c r="G8" s="75"/>
      <c r="H8" s="75"/>
      <c r="I8" s="75"/>
      <c r="J8" s="75"/>
    </row>
    <row r="9" ht="15.75" customHeight="1">
      <c r="A9" s="111" t="str">
        <f>Lists!$B$6</f>
        <v>Payable to Alam</v>
      </c>
      <c r="B9" s="112">
        <f>SUMIFS(Debit!$G:$G,Debit!$B:$B,Lists!$A$2,Debit!$E:$E,Lists!$B$6,Debit!$C:$C,Lists!$E$2)</f>
        <v>182635</v>
      </c>
      <c r="C9" s="112">
        <f>SUMIFS(Debit!$G:$G,Debit!$B:$B,Lists!$A$2,Debit!$E:$E,Lists!$B$6,Debit!$C:$C,Lists!$E$3)</f>
        <v>40000</v>
      </c>
      <c r="D9" s="112">
        <f>SUMIFS(Debit!$G:$G,Debit!$B:$B,Lists!$A$2,Debit!$E:$E,$A9,Debit!$C:$C,Lists!$E$4)</f>
        <v>0</v>
      </c>
      <c r="E9" s="112">
        <f>SUMIFS(Credit!$F:$F,Credit!$B:$B,Lists!$A$2,Credit!$D:$D,$A9)</f>
        <v>400000</v>
      </c>
      <c r="F9" s="112">
        <f t="shared" si="1"/>
        <v>-177365</v>
      </c>
      <c r="G9" s="75"/>
      <c r="H9" s="75"/>
      <c r="I9" s="75"/>
      <c r="J9" s="75"/>
    </row>
    <row r="10" ht="15.75" customHeight="1">
      <c r="A10" s="111" t="str">
        <f>Lists!$B$7</f>
        <v>Union Bank - CC</v>
      </c>
      <c r="B10" s="112">
        <f>SUMIFS(Debit!$G:$G,Debit!$B:$B,Lists!$A$2,Debit!$E:$E,Lists!$B$7,Debit!$C:$C,Lists!$E$2)</f>
        <v>477215.5</v>
      </c>
      <c r="C10" s="112">
        <f>SUMIFS(Debit!$G:$G,Debit!$B:$B,Lists!$A$2,Debit!$E:$E,Lists!$B$7,Debit!$C:$C,Lists!$E$3)</f>
        <v>722512.83</v>
      </c>
      <c r="D10" s="112">
        <f>SUMIFS(Debit!$G:$G,Debit!$B:$B,Lists!$A$2,Debit!$E:$E,$A10,Debit!$C:$C,Lists!$E$4)</f>
        <v>0</v>
      </c>
      <c r="E10" s="112">
        <f>SUMIFS(Credit!$F:$F,Credit!$B:$B,Lists!$A$2,Credit!$D:$D,$A10)</f>
        <v>0</v>
      </c>
      <c r="F10" s="112">
        <f t="shared" si="1"/>
        <v>1199728.33</v>
      </c>
      <c r="G10" s="75"/>
      <c r="H10" s="113"/>
      <c r="I10" s="114"/>
      <c r="J10" s="75"/>
    </row>
    <row r="11" ht="15.75" customHeight="1">
      <c r="A11" s="111" t="str">
        <f>Lists!$B$8</f>
        <v>Union Bank - Current</v>
      </c>
      <c r="B11" s="112">
        <f>SUMIFS(Debit!$G:$G,Debit!$B:$B,Lists!$A$2,Debit!$E:$E,Lists!$B$8,Debit!$C:$C,Lists!$E$2)</f>
        <v>26087</v>
      </c>
      <c r="C11" s="112">
        <f>SUMIFS(Debit!$G:$G,Debit!$B:$B,Lists!$A$2,Debit!$E:$E,Lists!$B$8,Debit!$C:$C,Lists!$E$3)</f>
        <v>93696.11</v>
      </c>
      <c r="D11" s="112">
        <f>SUMIFS(Debit!$G:$G,Debit!$B:$B,Lists!$A$2,Debit!$E:$E,$A11,Debit!$C:$C,Lists!$E$4)</f>
        <v>0</v>
      </c>
      <c r="E11" s="112">
        <f>SUMIFS(Credit!$F:$F,Credit!$B:$B,Lists!$A$2,Credit!$D:$D,$A11)</f>
        <v>0</v>
      </c>
      <c r="F11" s="112">
        <f t="shared" si="1"/>
        <v>119783.11</v>
      </c>
      <c r="G11" s="75"/>
      <c r="H11" s="113"/>
      <c r="I11" s="114"/>
      <c r="J11" s="75"/>
    </row>
    <row r="12" ht="15.75" customHeight="1">
      <c r="A12" s="111" t="str">
        <f>Lists!$B$9</f>
        <v>Union Bank - Term Loan</v>
      </c>
      <c r="B12" s="112">
        <f>SUMIFS(Debit!$G:$G,Debit!$B:$B,Lists!$A$2,Debit!$E:$E,Lists!$B$9,Debit!$C:$C,Lists!$E$2)</f>
        <v>1327433.5</v>
      </c>
      <c r="C12" s="112">
        <f>SUMIFS(Debit!$G:$G,Debit!$B:$B,Lists!$A$2,Debit!$E:$E,Lists!$B$9,Debit!$C:$C,Lists!$E$3)</f>
        <v>0</v>
      </c>
      <c r="D12" s="112">
        <f>SUMIFS(Debit!$G:$G,Debit!$B:$B,Lists!$A$2,Debit!$E:$E,$A12,Debit!$C:$C,Lists!$E$4)</f>
        <v>0</v>
      </c>
      <c r="E12" s="112">
        <f>SUMIFS(Credit!$F:$F,Credit!$B:$B,Lists!$A$2,Credit!$D:$D,$A12)</f>
        <v>0</v>
      </c>
      <c r="F12" s="112">
        <f t="shared" si="1"/>
        <v>1327433.5</v>
      </c>
      <c r="G12" s="75"/>
      <c r="H12" s="113"/>
      <c r="I12" s="114"/>
      <c r="J12" s="75"/>
    </row>
    <row r="13" ht="15.75" customHeight="1">
      <c r="A13" s="115" t="s">
        <v>150</v>
      </c>
      <c r="B13" s="116">
        <f t="shared" ref="B13:E13" si="2">SUM(B5:B12)</f>
        <v>2267881</v>
      </c>
      <c r="C13" s="116">
        <f t="shared" si="2"/>
        <v>900405.94</v>
      </c>
      <c r="D13" s="116">
        <f t="shared" si="2"/>
        <v>0</v>
      </c>
      <c r="E13" s="116">
        <f t="shared" si="2"/>
        <v>400000</v>
      </c>
      <c r="F13" s="116">
        <f t="shared" si="1"/>
        <v>2768286.94</v>
      </c>
      <c r="G13" s="75"/>
      <c r="H13" s="113"/>
      <c r="I13" s="114"/>
      <c r="J13" s="75"/>
    </row>
    <row r="14" ht="15.75" customHeight="1">
      <c r="A14" s="75"/>
      <c r="B14" s="75"/>
      <c r="C14" s="75"/>
      <c r="D14" s="75"/>
      <c r="E14" s="75"/>
      <c r="F14" s="75"/>
      <c r="G14" s="75"/>
      <c r="H14" s="75"/>
      <c r="I14" s="75"/>
      <c r="J14" s="75"/>
    </row>
    <row r="15" ht="15.75" customHeight="1">
      <c r="A15" s="107" t="str">
        <f>Lists!$A$3</f>
        <v>Chips Unit</v>
      </c>
      <c r="B15" s="75"/>
      <c r="C15" s="75"/>
      <c r="D15" s="75"/>
      <c r="E15" s="75"/>
      <c r="F15" s="75"/>
      <c r="G15" s="75"/>
      <c r="H15" s="75"/>
      <c r="I15" s="75"/>
      <c r="J15" s="75"/>
    </row>
    <row r="16" ht="15.75" customHeight="1">
      <c r="A16" s="108" t="s">
        <v>19</v>
      </c>
      <c r="B16" s="108" t="s">
        <v>388</v>
      </c>
      <c r="C16" s="108" t="s">
        <v>33</v>
      </c>
      <c r="D16" s="109" t="s">
        <v>390</v>
      </c>
      <c r="E16" s="109" t="s">
        <v>391</v>
      </c>
      <c r="F16" s="108" t="s">
        <v>150</v>
      </c>
      <c r="G16" s="75"/>
      <c r="H16" s="75"/>
      <c r="I16" s="75"/>
      <c r="J16" s="75"/>
    </row>
    <row r="17" ht="15.75" customHeight="1">
      <c r="A17" s="111" t="str">
        <f>Lists!$B$2</f>
        <v>Shareholder - Jagadeesan</v>
      </c>
      <c r="B17" s="112">
        <f>SUMIFS(Debit!$G:$G,Debit!$B:$B,Lists!$A$3,Debit!$E:$E,Lists!$B$2,Debit!$C:$C,Lists!$E$2)</f>
        <v>133334.84</v>
      </c>
      <c r="C17" s="112">
        <f>SUMIFS(Debit!$G:$G,Debit!$B:$B,Lists!$A$3,Debit!$E:$E,Lists!$B$2,Debit!$C:$C,Lists!$E$3)</f>
        <v>85855</v>
      </c>
      <c r="D17" s="112">
        <f>SUMIFS(Debit!$G:$G,Debit!$B:$B,Lists!$A$3,Debit!$E:$E,$A17,Debit!$C:$C,Lists!$E$4)</f>
        <v>0</v>
      </c>
      <c r="E17" s="112">
        <f>SUMIFS(Credit!$F:$F,Credit!$B:$B,Lists!$A$3,Credit!$D:$D,$A17)</f>
        <v>0</v>
      </c>
      <c r="F17" s="112">
        <f t="shared" ref="F17:F24" si="3">B17+C17+D17-E17</f>
        <v>219189.84</v>
      </c>
      <c r="G17" s="75"/>
      <c r="H17" s="75"/>
      <c r="I17" s="75"/>
      <c r="J17" s="75"/>
    </row>
    <row r="18" ht="15.75" customHeight="1">
      <c r="A18" s="111" t="str">
        <f>Lists!$B$3</f>
        <v>Shareholder - Jagadeshwaran</v>
      </c>
      <c r="B18" s="112">
        <f>SUMIFS(Debit!$G:$G,Debit!$B:$B,Lists!$A$3,Debit!$E:$E,Lists!$B$3,Debit!$C:$C,Lists!$E$2)</f>
        <v>393517</v>
      </c>
      <c r="C18" s="112">
        <f>SUMIFS(Debit!$G:$G,Debit!$B:$B,Lists!$A$3,Debit!$E:$E,Lists!$B$3,Debit!$C:$C,Lists!$E$3)</f>
        <v>0</v>
      </c>
      <c r="D18" s="112">
        <f>SUMIFS(Debit!$G:$G,Debit!$B:$B,Lists!$A$3,Debit!$E:$E,$A18,Debit!$C:$C,Lists!$E$4)</f>
        <v>0</v>
      </c>
      <c r="E18" s="112">
        <f>SUMIFS(Credit!$F:$F,Credit!$B:$B,Lists!$A$3,Credit!$D:$D,$A18)</f>
        <v>0</v>
      </c>
      <c r="F18" s="112">
        <f t="shared" si="3"/>
        <v>393517</v>
      </c>
      <c r="G18" s="75"/>
      <c r="H18" s="75"/>
      <c r="I18" s="75"/>
      <c r="J18" s="75"/>
    </row>
    <row r="19" ht="15.75" customHeight="1">
      <c r="A19" s="111" t="str">
        <f>Lists!$B$4</f>
        <v>Shareholder - Vellingiri</v>
      </c>
      <c r="B19" s="112">
        <f>SUMIFS(Debit!$G:$G,Debit!$B:$B,Lists!$A$3,Debit!$E:$E,Lists!$B$4,Debit!$C:$C,Lists!$E$2)</f>
        <v>4186</v>
      </c>
      <c r="C19" s="112">
        <f>SUMIFS(Debit!$G:$G,Debit!$B:$B,Lists!$A$3,Debit!$E:$E,Lists!$B$4,Debit!$C:$C,Lists!$E$3)</f>
        <v>0</v>
      </c>
      <c r="D19" s="112">
        <f>SUMIFS(Debit!$G:$G,Debit!$B:$B,Lists!$A$3,Debit!$E:$E,$A19,Debit!$C:$C,Lists!$E$4)</f>
        <v>0</v>
      </c>
      <c r="E19" s="112">
        <f>SUMIFS(Credit!$F:$F,Credit!$B:$B,Lists!$A$3,Credit!$D:$D,$A19)</f>
        <v>0</v>
      </c>
      <c r="F19" s="112">
        <f t="shared" si="3"/>
        <v>4186</v>
      </c>
      <c r="G19" s="75"/>
      <c r="H19" s="75"/>
      <c r="I19" s="75"/>
      <c r="J19" s="75"/>
    </row>
    <row r="20" ht="15.75" customHeight="1">
      <c r="A20" s="111" t="str">
        <f>Lists!$B$6</f>
        <v>Payable to Alam</v>
      </c>
      <c r="B20" s="112">
        <f>SUMIFS(Debit!$G:$G,Debit!$B:$B,Lists!$A$3,Debit!$E:$E,Lists!$B$6,Debit!$C:$C,Lists!$E$2)</f>
        <v>1007254.25</v>
      </c>
      <c r="C20" s="112">
        <f>SUMIFS(Debit!$G:$G,Debit!$B:$B,Lists!$A$3,Debit!$E:$E,Lists!$B$6,Debit!$C:$C,Lists!$E$3)</f>
        <v>0</v>
      </c>
      <c r="D20" s="112">
        <f>SUMIFS(Debit!$G:$G,Debit!$B:$B,Lists!$A$3,Debit!$E:$E,$A20,Debit!$C:$C,Lists!$E$4)</f>
        <v>0</v>
      </c>
      <c r="E20" s="112">
        <f>SUMIFS(Credit!$F:$F,Credit!$B:$B,Lists!$A$3,Credit!$D:$D,$A20)</f>
        <v>13012</v>
      </c>
      <c r="F20" s="112">
        <f t="shared" si="3"/>
        <v>994242.25</v>
      </c>
      <c r="G20" s="75"/>
      <c r="H20" s="75"/>
      <c r="I20" s="75"/>
      <c r="J20" s="75"/>
    </row>
    <row r="21" ht="15.75" customHeight="1">
      <c r="A21" s="111" t="str">
        <f>Lists!$B$7</f>
        <v>Union Bank - CC</v>
      </c>
      <c r="B21" s="112">
        <f>SUMIFS(Debit!$G:$G,Debit!$B:$B,Lists!$A$3,Debit!$E:$E,Lists!$B$7,Debit!$C:$C,Lists!$E$2)</f>
        <v>197830.6</v>
      </c>
      <c r="C21" s="112">
        <f>SUMIFS(Debit!$G:$G,Debit!$B:$B,Lists!$A$3,Debit!$E:$E,Lists!$B$7,Debit!$C:$C,Lists!$E$3)</f>
        <v>787978.99</v>
      </c>
      <c r="D21" s="112">
        <f>SUMIFS(Debit!$G:$G,Debit!$B:$B,Lists!$A$3,Debit!$E:$E,$A21,Debit!$C:$C,Lists!$E$4)</f>
        <v>678303</v>
      </c>
      <c r="E21" s="112">
        <f>SUMIFS(Credit!$F:$F,Credit!$B:$B,Lists!$A$3,Credit!$D:$D,$A21)</f>
        <v>0</v>
      </c>
      <c r="F21" s="112">
        <f t="shared" si="3"/>
        <v>1664112.59</v>
      </c>
      <c r="G21" s="75"/>
      <c r="H21" s="113"/>
      <c r="I21" s="114"/>
      <c r="J21" s="75"/>
    </row>
    <row r="22" ht="15.75" customHeight="1">
      <c r="A22" s="111" t="str">
        <f>Lists!$B$8</f>
        <v>Union Bank - Current</v>
      </c>
      <c r="B22" s="112">
        <f>SUMIFS(Debit!$G:$G,Debit!$B:$B,Lists!$A$3,Debit!$E:$E,Lists!$B$8,Debit!$C:$C,Lists!$E$2)</f>
        <v>8434.61</v>
      </c>
      <c r="C22" s="112">
        <f>SUMIFS(Debit!$G:$G,Debit!$B:$B,Lists!$A$3,Debit!$E:$E,Lists!$B$8,Debit!$C:$C,Lists!$E$3)</f>
        <v>69750.02</v>
      </c>
      <c r="D22" s="112">
        <f>SUMIFS(Debit!$G:$G,Debit!$B:$B,Lists!$A$3,Debit!$E:$E,$A22,Debit!$C:$C,Lists!$E$4)</f>
        <v>174000</v>
      </c>
      <c r="E22" s="112">
        <f>SUMIFS(Credit!$F:$F,Credit!$B:$B,Lists!$A$3,Credit!$D:$D,$A22)</f>
        <v>600730</v>
      </c>
      <c r="F22" s="112">
        <f t="shared" si="3"/>
        <v>-348545.37</v>
      </c>
      <c r="G22" s="75"/>
      <c r="H22" s="113"/>
      <c r="I22" s="114"/>
      <c r="J22" s="75"/>
    </row>
    <row r="23" ht="15.75" customHeight="1">
      <c r="A23" s="111" t="str">
        <f>Lists!$B$9</f>
        <v>Union Bank - Term Loan</v>
      </c>
      <c r="B23" s="112">
        <f>SUMIFS(Debit!$G:$G,Debit!$B:$B,Lists!$A$3,Debit!$E:$E,Lists!$B$9,Debit!$C:$C,Lists!$E$2)</f>
        <v>178303</v>
      </c>
      <c r="C23" s="112">
        <f>SUMIFS(Debit!$G:$G,Debit!$B:$B,Lists!$A$3,Debit!$E:$E,$A23,Debit!$C:$C,Lists!$E$3)</f>
        <v>0</v>
      </c>
      <c r="D23" s="112">
        <f>SUMIFS(Debit!$G:$G,Debit!$B:$B,Lists!$A$3,Debit!$E:$E,$A23,Debit!$C:$C,Lists!$E$4)</f>
        <v>0</v>
      </c>
      <c r="E23" s="112">
        <f>SUMIFS(Credit!$F:$F,Credit!$B:$B,Lists!$A$3,Credit!$D:$D,$A23)</f>
        <v>352303</v>
      </c>
      <c r="F23" s="112">
        <f t="shared" si="3"/>
        <v>-174000</v>
      </c>
      <c r="G23" s="75"/>
      <c r="H23" s="113"/>
      <c r="I23" s="114"/>
      <c r="J23" s="75"/>
    </row>
    <row r="24" ht="15.75" customHeight="1">
      <c r="A24" s="117" t="s">
        <v>150</v>
      </c>
      <c r="B24" s="116">
        <f t="shared" ref="B24:E24" si="4">SUM(B17:B23)</f>
        <v>1922860.3</v>
      </c>
      <c r="C24" s="116">
        <f t="shared" si="4"/>
        <v>943584.01</v>
      </c>
      <c r="D24" s="116">
        <f t="shared" si="4"/>
        <v>852303</v>
      </c>
      <c r="E24" s="116">
        <f t="shared" si="4"/>
        <v>966045</v>
      </c>
      <c r="F24" s="116">
        <f t="shared" si="3"/>
        <v>2752702.31</v>
      </c>
      <c r="G24" s="75"/>
      <c r="H24" s="113"/>
      <c r="I24" s="114"/>
      <c r="J24" s="75"/>
    </row>
    <row r="25" ht="15.75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</row>
    <row r="26" ht="15.75" customHeight="1">
      <c r="A26" s="107" t="str">
        <f>Lists!$A$4</f>
        <v>Washing Unit</v>
      </c>
      <c r="B26" s="75"/>
      <c r="C26" s="75"/>
      <c r="D26" s="75"/>
      <c r="E26" s="75"/>
      <c r="F26" s="75"/>
      <c r="G26" s="75"/>
      <c r="H26" s="75"/>
      <c r="I26" s="75"/>
      <c r="J26" s="75"/>
    </row>
    <row r="27" ht="15.75" customHeight="1">
      <c r="A27" s="108" t="s">
        <v>19</v>
      </c>
      <c r="B27" s="108" t="s">
        <v>388</v>
      </c>
      <c r="C27" s="108" t="s">
        <v>33</v>
      </c>
      <c r="D27" s="109" t="s">
        <v>390</v>
      </c>
      <c r="E27" s="109" t="s">
        <v>391</v>
      </c>
      <c r="F27" s="108" t="s">
        <v>150</v>
      </c>
      <c r="G27" s="75"/>
      <c r="H27" s="75"/>
      <c r="I27" s="75"/>
      <c r="J27" s="75"/>
    </row>
    <row r="28" ht="15.75" customHeight="1">
      <c r="A28" s="111" t="str">
        <f>Lists!$B$2</f>
        <v>Shareholder - Jagadeesan</v>
      </c>
      <c r="B28" s="112">
        <f>SUMIFS(Debit!$G:$G,Debit!$B:$B,Lists!$A$4,Debit!$E:$E,Lists!$B$2,Debit!$C:$C,Lists!$E$2)</f>
        <v>89824</v>
      </c>
      <c r="C28" s="112">
        <f>SUMIFS(Debit!$G:$G,Debit!$B:$B,Lists!$A$4,Debit!$E:$E,Lists!$B$2,Debit!$C:$C,Lists!$E$3)</f>
        <v>0</v>
      </c>
      <c r="D28" s="112">
        <f>SUMIFS(Debit!$G:$G,Debit!$B:$B,Lists!$A$4,Debit!$E:$E,$A28,Debit!$C:$C,Lists!$E$4)</f>
        <v>0</v>
      </c>
      <c r="E28" s="112">
        <f>SUMIFS(Credit!$F:$F,Credit!$B:$B,Lists!$A$4,Credit!$D:$D,$A28)</f>
        <v>0</v>
      </c>
      <c r="F28" s="112">
        <f t="shared" ref="F28:F35" si="5">B28+C28+D28-E28</f>
        <v>89824</v>
      </c>
      <c r="G28" s="75"/>
      <c r="H28" s="75"/>
      <c r="I28" s="75"/>
      <c r="J28" s="75"/>
    </row>
    <row r="29" ht="15.75" customHeight="1">
      <c r="A29" s="111" t="str">
        <f>Lists!$B$3</f>
        <v>Shareholder - Jagadeshwaran</v>
      </c>
      <c r="B29" s="112">
        <f>SUMIFS(Debit!$G:$G,Debit!$B:$B,Lists!$A$4,Debit!$E:$E,Lists!$B$3,Debit!$C:$C,Lists!$E$2)</f>
        <v>500</v>
      </c>
      <c r="C29" s="112">
        <f>SUMIFS(Debit!$G:$G,Debit!$B:$B,Lists!$A$4,Debit!$E:$E,Lists!$B$3,Debit!$C:$C,Lists!$E$3)</f>
        <v>0</v>
      </c>
      <c r="D29" s="112">
        <f>SUMIFS(Debit!$G:$G,Debit!$B:$B,Lists!$A$4,Debit!$E:$E,$A29,Debit!$C:$C,Lists!$E$4)</f>
        <v>0</v>
      </c>
      <c r="E29" s="112">
        <f>SUMIFS(Credit!$F:$F,Credit!$B:$B,Lists!$A$4,Credit!$D:$D,$A29)</f>
        <v>0</v>
      </c>
      <c r="F29" s="112">
        <f t="shared" si="5"/>
        <v>500</v>
      </c>
      <c r="G29" s="75"/>
      <c r="H29" s="75"/>
      <c r="I29" s="75"/>
      <c r="J29" s="75"/>
    </row>
    <row r="30" ht="15.75" customHeight="1">
      <c r="A30" s="111" t="str">
        <f>Lists!$B$4</f>
        <v>Shareholder - Vellingiri</v>
      </c>
      <c r="B30" s="112">
        <f>SUMIFS(Debit!$G:$G,Debit!$B:$B,Lists!$A$4,Debit!$E:$E,Lists!$B$4,Debit!$C:$C,Lists!$E$2)</f>
        <v>1146155</v>
      </c>
      <c r="C30" s="112">
        <f>SUMIFS(Debit!$G:$G,Debit!$B:$B,Lists!$A$4,Debit!$E:$E,Lists!$B$4,Debit!$C:$C,Lists!$E$3)</f>
        <v>0</v>
      </c>
      <c r="D30" s="112">
        <f>SUMIFS(Debit!$G:$G,Debit!$B:$B,Lists!$A$4,Debit!$E:$E,$A30,Debit!$C:$C,Lists!$E$4)</f>
        <v>0</v>
      </c>
      <c r="E30" s="112">
        <f>SUMIFS(Credit!$F:$F,Credit!$B:$B,Lists!$A$4,Credit!$D:$D,$A30)</f>
        <v>0</v>
      </c>
      <c r="F30" s="112">
        <f t="shared" si="5"/>
        <v>1146155</v>
      </c>
      <c r="G30" s="75"/>
      <c r="H30" s="75"/>
      <c r="I30" s="75"/>
      <c r="J30" s="75"/>
    </row>
    <row r="31" ht="15.75" customHeight="1">
      <c r="A31" s="111" t="str">
        <f>Lists!$B$6</f>
        <v>Payable to Alam</v>
      </c>
      <c r="B31" s="112">
        <f>SUMIFS(Debit!$G:$G,Debit!$B:$B,Lists!$A$4,Debit!$E:$E,Lists!$B$6,Debit!$C:$C,Lists!$E$2)</f>
        <v>258669</v>
      </c>
      <c r="C31" s="112">
        <f>SUMIFS(Debit!$G:$G,Debit!$B:$B,Lists!$A$4,Debit!$E:$E,Lists!$B$6,Debit!$C:$C,Lists!$E$3)</f>
        <v>0</v>
      </c>
      <c r="D31" s="112">
        <f>SUMIFS(Debit!$G:$G,Debit!$B:$B,Lists!$A$4,Debit!$E:$E,$A31,Debit!$C:$C,Lists!$E$4)</f>
        <v>0</v>
      </c>
      <c r="E31" s="112">
        <f>SUMIFS(Credit!$F:$F,Credit!$B:$B,Lists!$A$4,Credit!$D:$D,$A31)</f>
        <v>0</v>
      </c>
      <c r="F31" s="112">
        <f t="shared" si="5"/>
        <v>258669</v>
      </c>
      <c r="G31" s="75"/>
      <c r="H31" s="75"/>
      <c r="I31" s="75"/>
      <c r="J31" s="75"/>
    </row>
    <row r="32" ht="15.75" customHeight="1">
      <c r="A32" s="111" t="str">
        <f>Lists!$B$7</f>
        <v>Union Bank - CC</v>
      </c>
      <c r="B32" s="112">
        <f>SUMIFS(Debit!$G:$G,Debit!$B:$B,Lists!$A$4,Debit!$E:$E,Lists!$B$7,Debit!$C:$C,Lists!$E$2)</f>
        <v>1005869.78</v>
      </c>
      <c r="C32" s="112">
        <f>SUMIFS(Debit!$G:$G,Debit!$B:$B,Lists!$A$4,Debit!$E:$E,Lists!$B$7,Debit!$C:$C,Lists!$E$3)</f>
        <v>0</v>
      </c>
      <c r="D32" s="112">
        <f>SUMIFS(Debit!$G:$G,Debit!$B:$B,Lists!$A$4,Debit!$E:$E,$A32,Debit!$C:$C,Lists!$E$4)</f>
        <v>0</v>
      </c>
      <c r="E32" s="112">
        <f>SUMIFS(Credit!$F:$F,Credit!$B:$B,Lists!$A$4,Credit!$D:$D,$A32)</f>
        <v>0</v>
      </c>
      <c r="F32" s="112">
        <f t="shared" si="5"/>
        <v>1005869.78</v>
      </c>
      <c r="G32" s="75"/>
      <c r="H32" s="113"/>
      <c r="I32" s="114"/>
      <c r="J32" s="75"/>
    </row>
    <row r="33" ht="15.75" customHeight="1">
      <c r="A33" s="111" t="str">
        <f>Lists!$B$8</f>
        <v>Union Bank - Current</v>
      </c>
      <c r="B33" s="112">
        <f>SUMIFS(Debit!$G:$G,Debit!$B:$B,Lists!$A$4,Debit!$E:$E,Lists!$B$8,Debit!$C:$C,Lists!$E$2)</f>
        <v>0</v>
      </c>
      <c r="C33" s="112">
        <f>SUMIFS(Debit!$G:$G,Debit!$B:$B,Lists!$A$4,Debit!$E:$E,Lists!$B$8,Debit!$C:$C,Lists!$E$3)</f>
        <v>0</v>
      </c>
      <c r="D33" s="112">
        <f>SUMIFS(Debit!$G:$G,Debit!$B:$B,Lists!$A$4,Debit!$E:$E,$A33,Debit!$C:$C,Lists!$E$4)</f>
        <v>0</v>
      </c>
      <c r="E33" s="112">
        <f>SUMIFS(Credit!$F:$F,Credit!$B:$B,Lists!$A$4,Credit!$D:$D,$A33)</f>
        <v>0</v>
      </c>
      <c r="F33" s="112">
        <f t="shared" si="5"/>
        <v>0</v>
      </c>
      <c r="G33" s="75"/>
      <c r="H33" s="113"/>
      <c r="I33" s="114"/>
      <c r="J33" s="75"/>
    </row>
    <row r="34" ht="15.75" customHeight="1">
      <c r="A34" s="111" t="str">
        <f>Lists!$B$9</f>
        <v>Union Bank - Term Loan</v>
      </c>
      <c r="B34" s="112">
        <f>SUMIFS(Debit!$G:$G,Debit!$B:$B,Lists!$A$4,Debit!$E:$E,Lists!$B$9,Debit!$C:$C,Lists!$E$2)</f>
        <v>0</v>
      </c>
      <c r="C34" s="112">
        <f>SUMIFS(Debit!$G:$G,Debit!$B:$B,Lists!$A$4,Debit!$E:$E,$A34,Debit!$C:$C,Lists!$E$3)</f>
        <v>0</v>
      </c>
      <c r="D34" s="112">
        <f>SUMIFS(Debit!$G:$G,Debit!$B:$B,Lists!$A$4,Debit!$E:$E,$A34,Debit!$C:$C,Lists!$E$4)</f>
        <v>0</v>
      </c>
      <c r="E34" s="112">
        <f>SUMIFS(Credit!$F:$F,Credit!$B:$B,Lists!$A$4,Credit!$D:$D,$A34)</f>
        <v>0</v>
      </c>
      <c r="F34" s="112">
        <f t="shared" si="5"/>
        <v>0</v>
      </c>
      <c r="G34" s="75"/>
      <c r="H34" s="113"/>
      <c r="I34" s="114"/>
      <c r="J34" s="75"/>
    </row>
    <row r="35" ht="15.75" customHeight="1">
      <c r="A35" s="117" t="s">
        <v>150</v>
      </c>
      <c r="B35" s="116">
        <f t="shared" ref="B35:E35" si="6">SUM(B28:B34)</f>
        <v>2501017.78</v>
      </c>
      <c r="C35" s="116">
        <f t="shared" si="6"/>
        <v>0</v>
      </c>
      <c r="D35" s="116">
        <f t="shared" si="6"/>
        <v>0</v>
      </c>
      <c r="E35" s="116">
        <f t="shared" si="6"/>
        <v>0</v>
      </c>
      <c r="F35" s="116">
        <f t="shared" si="5"/>
        <v>2501017.78</v>
      </c>
      <c r="G35" s="75"/>
      <c r="H35" s="113"/>
      <c r="I35" s="114"/>
      <c r="J35" s="75"/>
    </row>
    <row r="36" ht="15.7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</row>
    <row r="37" ht="15.75" customHeight="1">
      <c r="A37" s="107" t="s">
        <v>392</v>
      </c>
      <c r="B37" s="75"/>
      <c r="C37" s="75"/>
      <c r="D37" s="75"/>
      <c r="E37" s="75"/>
      <c r="F37" s="75"/>
      <c r="G37" s="75"/>
      <c r="H37" s="75"/>
      <c r="I37" s="75"/>
      <c r="J37" s="75"/>
    </row>
    <row r="38" ht="15.75" customHeight="1">
      <c r="A38" s="108" t="s">
        <v>19</v>
      </c>
      <c r="B38" s="108" t="s">
        <v>388</v>
      </c>
      <c r="C38" s="108" t="s">
        <v>33</v>
      </c>
      <c r="D38" s="109" t="s">
        <v>390</v>
      </c>
      <c r="E38" s="109" t="s">
        <v>391</v>
      </c>
      <c r="F38" s="108" t="s">
        <v>150</v>
      </c>
      <c r="G38" s="75"/>
      <c r="H38" s="75"/>
      <c r="I38" s="75"/>
      <c r="J38" s="75"/>
    </row>
    <row r="39" ht="15.75" customHeight="1">
      <c r="A39" s="111" t="str">
        <f>Lists!$B$2</f>
        <v>Shareholder - Jagadeesan</v>
      </c>
      <c r="B39" s="112">
        <f t="shared" ref="B39:C39" si="7">sum(B5,B17,B28)</f>
        <v>285318.84</v>
      </c>
      <c r="C39" s="112">
        <f t="shared" si="7"/>
        <v>130052</v>
      </c>
      <c r="D39" s="112">
        <f t="shared" ref="D39:E39" si="8">SUM(D5,D17,D28)</f>
        <v>0</v>
      </c>
      <c r="E39" s="112">
        <f t="shared" si="8"/>
        <v>0</v>
      </c>
      <c r="F39" s="112">
        <f t="shared" ref="F39:F45" si="11">B39+C39+D39-E39</f>
        <v>415370.84</v>
      </c>
      <c r="G39" s="75"/>
      <c r="H39" s="75"/>
      <c r="I39" s="75"/>
      <c r="J39" s="75"/>
    </row>
    <row r="40" ht="15.75" customHeight="1">
      <c r="A40" s="111" t="str">
        <f>Lists!$B$3</f>
        <v>Shareholder - Jagadeshwaran</v>
      </c>
      <c r="B40" s="112">
        <f t="shared" ref="B40:C40" si="9">sum(B6,B18,B29)</f>
        <v>394017</v>
      </c>
      <c r="C40" s="112">
        <f t="shared" si="9"/>
        <v>0</v>
      </c>
      <c r="D40" s="112">
        <f t="shared" ref="D40:E40" si="10">SUM(D6,D18,D29)</f>
        <v>0</v>
      </c>
      <c r="E40" s="112">
        <f t="shared" si="10"/>
        <v>0</v>
      </c>
      <c r="F40" s="112">
        <f t="shared" si="11"/>
        <v>394017</v>
      </c>
      <c r="G40" s="75"/>
      <c r="H40" s="75"/>
      <c r="I40" s="75"/>
      <c r="J40" s="75"/>
    </row>
    <row r="41" ht="15.75" customHeight="1">
      <c r="A41" s="111" t="str">
        <f>Lists!$B$4</f>
        <v>Shareholder - Vellingiri</v>
      </c>
      <c r="B41" s="112">
        <f t="shared" ref="B41:C41" si="12">sum(B7,B19,B30)</f>
        <v>1150341</v>
      </c>
      <c r="C41" s="112">
        <f t="shared" si="12"/>
        <v>0</v>
      </c>
      <c r="D41" s="112">
        <f t="shared" ref="D41:E41" si="13">SUM(D7,D19,D30)</f>
        <v>0</v>
      </c>
      <c r="E41" s="112">
        <f t="shared" si="13"/>
        <v>0</v>
      </c>
      <c r="F41" s="112">
        <f t="shared" si="11"/>
        <v>1150341</v>
      </c>
      <c r="G41" s="75"/>
      <c r="H41" s="75"/>
      <c r="I41" s="75"/>
      <c r="J41" s="75"/>
    </row>
    <row r="42" ht="15.75" customHeight="1">
      <c r="A42" s="111" t="str">
        <f>Lists!$B$5</f>
        <v>Vikas</v>
      </c>
      <c r="B42" s="112">
        <f t="shared" ref="B42:E42" si="14">B8</f>
        <v>192350</v>
      </c>
      <c r="C42" s="112">
        <f t="shared" si="14"/>
        <v>0</v>
      </c>
      <c r="D42" s="112">
        <f t="shared" si="14"/>
        <v>0</v>
      </c>
      <c r="E42" s="112">
        <f t="shared" si="14"/>
        <v>0</v>
      </c>
      <c r="F42" s="112">
        <f t="shared" si="11"/>
        <v>192350</v>
      </c>
      <c r="G42" s="75"/>
      <c r="H42" s="75"/>
      <c r="I42" s="75"/>
      <c r="J42" s="75"/>
    </row>
    <row r="43" ht="15.75" customHeight="1">
      <c r="A43" s="111" t="str">
        <f>Lists!$B$6</f>
        <v>Payable to Alam</v>
      </c>
      <c r="B43" s="112">
        <f t="shared" ref="B43:C43" si="15">sum(B9,B20,B31)</f>
        <v>1448558.25</v>
      </c>
      <c r="C43" s="112">
        <f t="shared" si="15"/>
        <v>40000</v>
      </c>
      <c r="D43" s="112">
        <f t="shared" ref="D43:E43" si="16">SUM(D9,D20,D31)</f>
        <v>0</v>
      </c>
      <c r="E43" s="112">
        <f t="shared" si="16"/>
        <v>413012</v>
      </c>
      <c r="F43" s="112">
        <f t="shared" si="11"/>
        <v>1075546.25</v>
      </c>
      <c r="G43" s="75"/>
      <c r="H43" s="75"/>
      <c r="I43" s="75"/>
      <c r="J43" s="75"/>
    </row>
    <row r="44" ht="15.75" customHeight="1">
      <c r="A44" s="111" t="str">
        <f>Lists!$B$7</f>
        <v>Union Bank - CC</v>
      </c>
      <c r="B44" s="112">
        <f t="shared" ref="B44:C44" si="17">sum(B10,B21,B32)</f>
        <v>1680915.88</v>
      </c>
      <c r="C44" s="112">
        <f t="shared" si="17"/>
        <v>1510491.82</v>
      </c>
      <c r="D44" s="112">
        <f t="shared" ref="D44:E44" si="18">SUM(D10,D21,D32)</f>
        <v>678303</v>
      </c>
      <c r="E44" s="112">
        <f t="shared" si="18"/>
        <v>0</v>
      </c>
      <c r="F44" s="112">
        <f t="shared" si="11"/>
        <v>3869710.7</v>
      </c>
      <c r="G44" s="75"/>
      <c r="H44" s="75"/>
      <c r="I44" s="75"/>
      <c r="J44" s="75"/>
    </row>
    <row r="45" ht="15.75" customHeight="1">
      <c r="A45" s="111" t="str">
        <f>Lists!$B$8</f>
        <v>Union Bank - Current</v>
      </c>
      <c r="B45" s="112">
        <f t="shared" ref="B45:C45" si="19">sum(B11,B22,B33)</f>
        <v>34521.61</v>
      </c>
      <c r="C45" s="112">
        <f t="shared" si="19"/>
        <v>163446.13</v>
      </c>
      <c r="D45" s="112">
        <f t="shared" ref="D45:E45" si="20">SUM(D11,D22,D33)</f>
        <v>174000</v>
      </c>
      <c r="E45" s="112">
        <f t="shared" si="20"/>
        <v>600730</v>
      </c>
      <c r="F45" s="112">
        <f t="shared" si="11"/>
        <v>-228762.26</v>
      </c>
      <c r="G45" s="75"/>
      <c r="H45" s="75"/>
      <c r="I45" s="75"/>
      <c r="J45" s="75"/>
    </row>
    <row r="46" ht="15.75" customHeight="1">
      <c r="A46" s="118" t="s">
        <v>54</v>
      </c>
      <c r="B46" s="112">
        <f t="shared" ref="B46:E46" si="21">SUM(B12,B23,B34)</f>
        <v>1505736.5</v>
      </c>
      <c r="C46" s="112">
        <f t="shared" si="21"/>
        <v>0</v>
      </c>
      <c r="D46" s="112">
        <f t="shared" si="21"/>
        <v>0</v>
      </c>
      <c r="E46" s="112">
        <f t="shared" si="21"/>
        <v>352303</v>
      </c>
      <c r="F46" s="112">
        <f>B46+C46+D46-E46-F12</f>
        <v>-174000</v>
      </c>
      <c r="G46" s="75"/>
      <c r="H46" s="75"/>
      <c r="I46" s="75"/>
      <c r="J46" s="75"/>
    </row>
    <row r="47" ht="15.75" customHeight="1">
      <c r="A47" s="117" t="s">
        <v>150</v>
      </c>
      <c r="B47" s="116">
        <f t="shared" ref="B47:E47" si="22">SUM(B39:B46)</f>
        <v>6691759.08</v>
      </c>
      <c r="C47" s="116">
        <f t="shared" si="22"/>
        <v>1843989.95</v>
      </c>
      <c r="D47" s="116">
        <f t="shared" si="22"/>
        <v>852303</v>
      </c>
      <c r="E47" s="116">
        <f t="shared" si="22"/>
        <v>1366045</v>
      </c>
      <c r="F47" s="116">
        <f>B47+C47+D47-E47</f>
        <v>8022007.03</v>
      </c>
      <c r="G47" s="75"/>
      <c r="H47" s="75"/>
      <c r="I47" s="75"/>
      <c r="J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71"/>
    <col customWidth="1" min="2" max="4" width="18.43"/>
    <col customWidth="1" min="5" max="8" width="17.43"/>
    <col customWidth="1" min="9" max="9" width="8.71"/>
  </cols>
  <sheetData>
    <row r="1">
      <c r="A1" s="119" t="s">
        <v>393</v>
      </c>
      <c r="B1" s="120"/>
      <c r="C1" s="120"/>
      <c r="D1" s="120"/>
      <c r="E1" s="120"/>
      <c r="F1" s="120"/>
      <c r="G1" s="120"/>
      <c r="H1" s="120"/>
      <c r="I1" s="120"/>
    </row>
    <row r="2">
      <c r="A2" s="120"/>
      <c r="B2" s="120"/>
      <c r="C2" s="120"/>
      <c r="D2" s="120"/>
      <c r="E2" s="120"/>
      <c r="F2" s="120"/>
      <c r="G2" s="120"/>
      <c r="H2" s="120"/>
      <c r="I2" s="120"/>
    </row>
    <row r="3">
      <c r="A3" s="121" t="str">
        <f>Lists!$A$2</f>
        <v>Fibre Unit</v>
      </c>
      <c r="B3" s="120"/>
      <c r="C3" s="120"/>
      <c r="D3" s="120"/>
      <c r="E3" s="120"/>
      <c r="F3" s="120"/>
      <c r="G3" s="120"/>
      <c r="H3" s="120"/>
      <c r="I3" s="120"/>
    </row>
    <row r="4">
      <c r="A4" s="66" t="s">
        <v>28</v>
      </c>
      <c r="B4" s="66" t="s">
        <v>394</v>
      </c>
      <c r="C4" s="66" t="s">
        <v>395</v>
      </c>
      <c r="D4" s="66" t="s">
        <v>56</v>
      </c>
      <c r="E4" s="122" t="s">
        <v>396</v>
      </c>
      <c r="F4" s="66" t="s">
        <v>397</v>
      </c>
      <c r="G4" s="66" t="s">
        <v>398</v>
      </c>
      <c r="H4" s="66" t="s">
        <v>399</v>
      </c>
      <c r="I4" s="120"/>
    </row>
    <row r="5">
      <c r="A5" s="123" t="str">
        <f>Lists!$B$2</f>
        <v>Shareholder - Jagadeesan</v>
      </c>
      <c r="B5" s="124">
        <f>Lists!$H$3</f>
        <v>0.2222</v>
      </c>
      <c r="C5" s="92">
        <f>SUMIFS(Debit!$G:$G,Debit!$B:$B,Lists!$A$2,Debit!$E:$E,Lists!$B$2)</f>
        <v>106357</v>
      </c>
      <c r="D5" s="92">
        <f>Summary!$F$9/2</f>
        <v>-88682.5</v>
      </c>
      <c r="E5" s="92">
        <f>SUMIF(Summary!$A$4:$A$12,"Union Bank*",Summary!$F$4:$F$12)/3</f>
        <v>882314.98</v>
      </c>
      <c r="F5" s="92">
        <f t="shared" ref="F5:F8" si="1">C5+D5+E5</f>
        <v>899989.48</v>
      </c>
      <c r="G5" s="92">
        <f t="shared" ref="G5:G8" si="2">B5/SUM($B$5:$B$8)*$F$9</f>
        <v>615174.8756</v>
      </c>
      <c r="H5" s="92">
        <f t="shared" ref="H5:H8" si="3">F5-G5</f>
        <v>284814.6044</v>
      </c>
      <c r="I5" s="120"/>
    </row>
    <row r="6">
      <c r="A6" s="123" t="str">
        <f>Lists!$B$3</f>
        <v>Shareholder - Jagadeshwaran</v>
      </c>
      <c r="B6" s="124">
        <f>Lists!$H$4</f>
        <v>0.2222</v>
      </c>
      <c r="C6" s="92">
        <f>SUMIFS(Debit!$G:$G,Debit!$B:$B,Lists!$A$2,Debit!$E:$E,Lists!$B$3)</f>
        <v>0</v>
      </c>
      <c r="D6" s="92">
        <f>Summary!$F$9/2</f>
        <v>-88682.5</v>
      </c>
      <c r="E6" s="92">
        <f>SUMIF(Summary!$A$4:$A$12,"Union Bank*",Summary!$F$4:$F$12)/3</f>
        <v>882314.98</v>
      </c>
      <c r="F6" s="92">
        <f t="shared" si="1"/>
        <v>793632.48</v>
      </c>
      <c r="G6" s="92">
        <f t="shared" si="2"/>
        <v>615174.8756</v>
      </c>
      <c r="H6" s="92">
        <f t="shared" si="3"/>
        <v>178457.6044</v>
      </c>
      <c r="I6" s="120"/>
    </row>
    <row r="7">
      <c r="A7" s="123" t="str">
        <f>Lists!$B$4</f>
        <v>Shareholder - Vellingiri</v>
      </c>
      <c r="B7" s="124">
        <f>Lists!$H$5</f>
        <v>0.2222</v>
      </c>
      <c r="C7" s="92">
        <f>SUMIFS(Debit!$G:$G,Debit!$B:$B,Lists!$A$2,Debit!$E:$E,Lists!$B$4)</f>
        <v>0</v>
      </c>
      <c r="D7" s="92">
        <f>Lists!$H$12*SUMIFS(Debit!$G:$G,Debit!$B:$B,Lists!$A$2,Debit!$E:$E,Lists!$B$6)</f>
        <v>0</v>
      </c>
      <c r="E7" s="92">
        <f>SUMIF(Summary!$A$4:$A$12,"Union Bank*",Summary!$F$4:$F$12)/3</f>
        <v>882314.98</v>
      </c>
      <c r="F7" s="92">
        <f t="shared" si="1"/>
        <v>882314.98</v>
      </c>
      <c r="G7" s="92">
        <f t="shared" si="2"/>
        <v>615174.8756</v>
      </c>
      <c r="H7" s="92">
        <f t="shared" si="3"/>
        <v>267140.1044</v>
      </c>
      <c r="I7" s="120"/>
    </row>
    <row r="8">
      <c r="A8" s="123" t="str">
        <f>Lists!$B$5</f>
        <v>Vikas</v>
      </c>
      <c r="B8" s="124">
        <f>Lists!$H$6</f>
        <v>0.3333</v>
      </c>
      <c r="C8" s="92">
        <f>SUMIFS(Debit!$G:$G,Debit!$B:$B,Lists!$A$2,Debit!$E:$E,Lists!$B$5)</f>
        <v>192350</v>
      </c>
      <c r="D8" s="92">
        <f>Lists!$H$13*SUMIFS(Debit!$G:$G,Debit!$B:$B,Lists!$A$2,Debit!$E:$E,Lists!$B$6)</f>
        <v>0</v>
      </c>
      <c r="E8" s="125">
        <v>0.0</v>
      </c>
      <c r="F8" s="92">
        <f t="shared" si="1"/>
        <v>192350</v>
      </c>
      <c r="G8" s="92">
        <f t="shared" si="2"/>
        <v>922762.3133</v>
      </c>
      <c r="H8" s="92">
        <f t="shared" si="3"/>
        <v>-730412.3133</v>
      </c>
      <c r="I8" s="120"/>
    </row>
    <row r="9">
      <c r="A9" s="126" t="s">
        <v>400</v>
      </c>
      <c r="B9" s="126"/>
      <c r="C9" s="127">
        <f>SUM(C5:C8)+SUMIFS(Debit!$G:$G,Debit!$B:$B,Lists!$A$2,Debit!$E:$E,Lists!$B$6)</f>
        <v>521342</v>
      </c>
      <c r="D9" s="127">
        <f>SUM(D5:D8)-SUMIFS(Debit!$G:$G,Debit!$B:$B,Lists!$A$2,Debit!$E:$E,Lists!$B$6)</f>
        <v>-400000</v>
      </c>
      <c r="E9" s="127">
        <f t="shared" ref="E9:H9" si="4">SUM(E5:E8)</f>
        <v>2646944.94</v>
      </c>
      <c r="F9" s="127">
        <f t="shared" si="4"/>
        <v>2768286.94</v>
      </c>
      <c r="G9" s="127">
        <f t="shared" si="4"/>
        <v>2768286.94</v>
      </c>
      <c r="H9" s="127">
        <f t="shared" si="4"/>
        <v>-0.0000000002328306437</v>
      </c>
      <c r="I9" s="120"/>
    </row>
    <row r="10">
      <c r="A10" s="120"/>
      <c r="B10" s="120"/>
      <c r="C10" s="120"/>
      <c r="D10" s="120"/>
      <c r="E10" s="120"/>
      <c r="F10" s="120"/>
      <c r="G10" s="120"/>
      <c r="H10" s="120"/>
      <c r="I10" s="120"/>
    </row>
    <row r="11">
      <c r="A11" s="121" t="str">
        <f>Lists!$A$3</f>
        <v>Chips Unit</v>
      </c>
      <c r="B11" s="120"/>
      <c r="C11" s="120"/>
      <c r="D11" s="120"/>
      <c r="E11" s="120"/>
      <c r="F11" s="120"/>
      <c r="G11" s="120"/>
      <c r="H11" s="120"/>
      <c r="I11" s="120"/>
    </row>
    <row r="12">
      <c r="A12" s="66" t="s">
        <v>28</v>
      </c>
      <c r="B12" s="66" t="s">
        <v>394</v>
      </c>
      <c r="C12" s="66" t="s">
        <v>395</v>
      </c>
      <c r="D12" s="66" t="s">
        <v>56</v>
      </c>
      <c r="E12" s="122" t="s">
        <v>396</v>
      </c>
      <c r="F12" s="66" t="s">
        <v>397</v>
      </c>
      <c r="G12" s="66" t="s">
        <v>398</v>
      </c>
      <c r="H12" s="66" t="s">
        <v>399</v>
      </c>
      <c r="I12" s="120"/>
    </row>
    <row r="13">
      <c r="A13" s="123" t="str">
        <f>Lists!$B$2</f>
        <v>Shareholder - Jagadeesan</v>
      </c>
      <c r="B13" s="124">
        <f>Lists!$I$3</f>
        <v>0.3333</v>
      </c>
      <c r="C13" s="92">
        <f>SUMIFS(Debit!$G:$G,Debit!$B:$B,Lists!$A$3,Debit!$E:$E,Lists!$B$2)</f>
        <v>219189.84</v>
      </c>
      <c r="D13" s="92">
        <f>VLOOKUP("Payable to Alam",Summary!$A$14:$F$25,6,FALSE)/2</f>
        <v>497121.125</v>
      </c>
      <c r="E13" s="125">
        <f>SUMIF(Summary!$A$17:$A$23,"Union Bank*",Summary!$F$17:$F$23)/3</f>
        <v>380522.4067</v>
      </c>
      <c r="F13" s="92">
        <f t="shared" ref="F13:F15" si="5">C13+D13+E13</f>
        <v>1096833.372</v>
      </c>
      <c r="G13" s="92">
        <f t="shared" ref="G13:G15" si="6">B13/SUM($B$13:$B$15)*$F$16</f>
        <v>917567.4367</v>
      </c>
      <c r="H13" s="92">
        <f t="shared" ref="H13:H15" si="7">F13-G13</f>
        <v>179265.935</v>
      </c>
      <c r="I13" s="120"/>
    </row>
    <row r="14">
      <c r="A14" s="123" t="str">
        <f>Lists!$B$3</f>
        <v>Shareholder - Jagadeshwaran</v>
      </c>
      <c r="B14" s="124">
        <f>Lists!$I$4</f>
        <v>0.3333</v>
      </c>
      <c r="C14" s="92">
        <f>SUMIFS(Debit!$G:$G,Debit!$B:$B,Lists!$A$3,Debit!$E:$E,Lists!$B$3)</f>
        <v>393517</v>
      </c>
      <c r="D14" s="92">
        <f>VLOOKUP("Payable to Alam",Summary!$A$14:$F$25,6,FALSE)/2</f>
        <v>497121.125</v>
      </c>
      <c r="E14" s="125">
        <f>SUMIF(Summary!$A$17:$A$23,"Union Bank*",Summary!$F$17:$F$23)/3</f>
        <v>380522.4067</v>
      </c>
      <c r="F14" s="92">
        <f t="shared" si="5"/>
        <v>1271160.532</v>
      </c>
      <c r="G14" s="92">
        <f t="shared" si="6"/>
        <v>917567.4367</v>
      </c>
      <c r="H14" s="92">
        <f t="shared" si="7"/>
        <v>353593.095</v>
      </c>
      <c r="I14" s="120"/>
    </row>
    <row r="15">
      <c r="A15" s="123" t="str">
        <f>Lists!$B$4</f>
        <v>Shareholder - Vellingiri</v>
      </c>
      <c r="B15" s="124">
        <f>Lists!$I$5</f>
        <v>0.3333</v>
      </c>
      <c r="C15" s="92">
        <f>SUMIFS(Debit!$G:$G,Debit!$B:$B,Lists!$A$3,Debit!$E:$E,Lists!$B$4)</f>
        <v>4186</v>
      </c>
      <c r="D15" s="92">
        <f>Lists!$H$12*SUMIFS(Debit!$G:$G,Debit!$B:$B,Lists!$A$3,Debit!$E:$E,Lists!$B$6)</f>
        <v>0</v>
      </c>
      <c r="E15" s="125">
        <f>SUMIF(Summary!$A$17:$A$23,"Union Bank*",Summary!$F$17:$F$23)/3</f>
        <v>380522.4067</v>
      </c>
      <c r="F15" s="92">
        <f t="shared" si="5"/>
        <v>384708.4067</v>
      </c>
      <c r="G15" s="92">
        <f t="shared" si="6"/>
        <v>917567.4367</v>
      </c>
      <c r="H15" s="92">
        <f t="shared" si="7"/>
        <v>-532859.03</v>
      </c>
      <c r="I15" s="120"/>
    </row>
    <row r="16">
      <c r="A16" s="126" t="s">
        <v>400</v>
      </c>
      <c r="B16" s="126"/>
      <c r="C16" s="127">
        <f>SUM(C13:C15)+SUMIFS(Debit!$G:$G,Debit!$B:$B,Lists!$A$3,Debit!$E:$E,Lists!$B$6)</f>
        <v>1624147.09</v>
      </c>
      <c r="D16" s="127">
        <f>SUM(D13:D15)-SUMIFS(Debit!$G:$G,Debit!$B:$B,Lists!$A$3,Debit!$E:$E,Lists!$B$6)</f>
        <v>-13012</v>
      </c>
      <c r="E16" s="127">
        <f t="shared" ref="E16:H16" si="8">SUM(E13:E15)</f>
        <v>1141567.22</v>
      </c>
      <c r="F16" s="127">
        <f t="shared" si="8"/>
        <v>2752702.31</v>
      </c>
      <c r="G16" s="127">
        <f t="shared" si="8"/>
        <v>2752702.31</v>
      </c>
      <c r="H16" s="127">
        <f t="shared" si="8"/>
        <v>-0.0000000002328306437</v>
      </c>
      <c r="I16" s="120"/>
    </row>
    <row r="17">
      <c r="A17" s="120"/>
      <c r="B17" s="120"/>
      <c r="C17" s="120"/>
      <c r="D17" s="120"/>
      <c r="E17" s="120"/>
      <c r="F17" s="120"/>
      <c r="G17" s="120"/>
      <c r="H17" s="120"/>
      <c r="I17" s="120"/>
    </row>
    <row r="18">
      <c r="A18" s="121" t="str">
        <f>Lists!$A$4</f>
        <v>Washing Unit</v>
      </c>
      <c r="B18" s="120"/>
      <c r="C18" s="120"/>
      <c r="D18" s="120"/>
      <c r="E18" s="120"/>
      <c r="F18" s="120"/>
      <c r="G18" s="120"/>
      <c r="H18" s="120"/>
      <c r="I18" s="120"/>
    </row>
    <row r="19">
      <c r="A19" s="66" t="s">
        <v>28</v>
      </c>
      <c r="B19" s="66" t="s">
        <v>394</v>
      </c>
      <c r="C19" s="66" t="s">
        <v>395</v>
      </c>
      <c r="D19" s="66" t="s">
        <v>56</v>
      </c>
      <c r="E19" s="122" t="s">
        <v>396</v>
      </c>
      <c r="F19" s="66" t="s">
        <v>397</v>
      </c>
      <c r="G19" s="66" t="s">
        <v>398</v>
      </c>
      <c r="H19" s="66" t="s">
        <v>399</v>
      </c>
      <c r="I19" s="120"/>
    </row>
    <row r="20" ht="15.75" customHeight="1">
      <c r="A20" s="123" t="str">
        <f>Lists!$B$2</f>
        <v>Shareholder - Jagadeesan</v>
      </c>
      <c r="B20" s="124">
        <f>Lists!$J$3</f>
        <v>0.3333</v>
      </c>
      <c r="C20" s="92">
        <f>SUMIFS(Debit!$G:$G,Debit!$B:$B,Lists!$A$4,Debit!$E:$E,Lists!$B$2)</f>
        <v>89824</v>
      </c>
      <c r="D20" s="92">
        <f>VLOOKUP("Payable to Alam",Summary!$A$26:$F$37,6,FALSE)/2</f>
        <v>129334.5</v>
      </c>
      <c r="E20" s="125">
        <f>SUMIF(Summary!$A$28:$A$34,"Union Bank*",Summary!$F$28:$F$34)/3</f>
        <v>335289.9267</v>
      </c>
      <c r="F20" s="92">
        <f t="shared" ref="F20:F22" si="9">C20+D20+E20</f>
        <v>554448.4267</v>
      </c>
      <c r="G20" s="92">
        <f t="shared" ref="G20:G22" si="10">B20/SUM($B$20:$B$22)*$F$23</f>
        <v>833672.5933</v>
      </c>
      <c r="H20" s="92">
        <f t="shared" ref="H20:H22" si="11">F20-G20</f>
        <v>-279224.1667</v>
      </c>
      <c r="I20" s="120"/>
    </row>
    <row r="21" ht="15.75" customHeight="1">
      <c r="A21" s="123" t="str">
        <f>Lists!$B$3</f>
        <v>Shareholder - Jagadeshwaran</v>
      </c>
      <c r="B21" s="124">
        <f>Lists!$J$4</f>
        <v>0.3333</v>
      </c>
      <c r="C21" s="92">
        <f>SUMIFS(Debit!$G:$G,Debit!$B:$B,Lists!$A$4,Debit!$E:$E,Lists!$B$3)</f>
        <v>500</v>
      </c>
      <c r="D21" s="92">
        <f>VLOOKUP("Payable to Alam",Summary!$A$26:$F$37,6,FALSE)/2</f>
        <v>129334.5</v>
      </c>
      <c r="E21" s="125">
        <f>SUMIF(Summary!$A$28:$A$34,"Union Bank*",Summary!$F$28:$F$34)/3</f>
        <v>335289.9267</v>
      </c>
      <c r="F21" s="92">
        <f t="shared" si="9"/>
        <v>465124.4267</v>
      </c>
      <c r="G21" s="92">
        <f t="shared" si="10"/>
        <v>833672.5933</v>
      </c>
      <c r="H21" s="92">
        <f t="shared" si="11"/>
        <v>-368548.1667</v>
      </c>
      <c r="I21" s="120"/>
    </row>
    <row r="22" ht="15.75" customHeight="1">
      <c r="A22" s="123" t="str">
        <f>Lists!$B$4</f>
        <v>Shareholder - Vellingiri</v>
      </c>
      <c r="B22" s="124">
        <f>Lists!$J$5</f>
        <v>0.3333</v>
      </c>
      <c r="C22" s="92">
        <f>SUMIFS(Debit!$G:$G,Debit!$B:$B,Lists!$A$4,Debit!$E:$E,Lists!$B$4)</f>
        <v>1146155</v>
      </c>
      <c r="D22" s="92">
        <f>Lists!$H$12*SUMIFS(Debit!$G:$G,Debit!$B:$B,Lists!$A$4,Debit!$E:$E,Lists!$B$6)</f>
        <v>0</v>
      </c>
      <c r="E22" s="125">
        <f>SUMIF(Summary!$A$28:$A$34,"Union Bank*",Summary!$F$28:$F$34)/3</f>
        <v>335289.9267</v>
      </c>
      <c r="F22" s="92">
        <f t="shared" si="9"/>
        <v>1481444.927</v>
      </c>
      <c r="G22" s="92">
        <f t="shared" si="10"/>
        <v>833672.5933</v>
      </c>
      <c r="H22" s="92">
        <f t="shared" si="11"/>
        <v>647772.3333</v>
      </c>
      <c r="I22" s="120"/>
    </row>
    <row r="23" ht="15.75" customHeight="1">
      <c r="A23" s="126" t="s">
        <v>400</v>
      </c>
      <c r="B23" s="126"/>
      <c r="C23" s="127">
        <f>SUM(C20:C22)+SUMIFS(Debit!$G:$G,Debit!$B:$B,Lists!$A$4,Debit!$E:$E,Lists!$B$6)</f>
        <v>1495148</v>
      </c>
      <c r="D23" s="127">
        <f>SUM(D20:D22)-SUMIFS(Debit!$G:$G,Debit!$B:$B,Lists!$A$4,Debit!$E:$E,Lists!$B$6)</f>
        <v>0</v>
      </c>
      <c r="E23" s="127">
        <f t="shared" ref="E23:H23" si="12">SUM(E20:E22)</f>
        <v>1005869.78</v>
      </c>
      <c r="F23" s="127">
        <f t="shared" si="12"/>
        <v>2501017.78</v>
      </c>
      <c r="G23" s="127">
        <f t="shared" si="12"/>
        <v>2501017.78</v>
      </c>
      <c r="H23" s="127">
        <f t="shared" si="12"/>
        <v>-0.0000000001164153218</v>
      </c>
      <c r="I23" s="120"/>
    </row>
    <row r="24" ht="15.75" customHeight="1">
      <c r="A24" s="120"/>
      <c r="B24" s="120"/>
      <c r="C24" s="120"/>
      <c r="D24" s="120"/>
      <c r="E24" s="120"/>
      <c r="F24" s="120"/>
      <c r="G24" s="120"/>
      <c r="H24" s="120"/>
      <c r="I24" s="120"/>
    </row>
    <row r="25" ht="15.75" customHeight="1">
      <c r="A25" s="121" t="s">
        <v>401</v>
      </c>
      <c r="B25" s="120"/>
      <c r="C25" s="120"/>
      <c r="D25" s="120"/>
      <c r="E25" s="120"/>
      <c r="F25" s="120"/>
      <c r="G25" s="120"/>
      <c r="H25" s="120"/>
      <c r="I25" s="120"/>
    </row>
    <row r="26" ht="15.75" customHeight="1">
      <c r="A26" s="66" t="s">
        <v>28</v>
      </c>
      <c r="B26" s="66" t="s">
        <v>402</v>
      </c>
      <c r="C26" s="66" t="s">
        <v>403</v>
      </c>
      <c r="D26" s="66" t="s">
        <v>404</v>
      </c>
    </row>
    <row r="27" ht="15.75" customHeight="1">
      <c r="A27" s="123" t="str">
        <f>Lists!$B$2</f>
        <v>Shareholder - Jagadeesan</v>
      </c>
      <c r="B27" s="92">
        <f t="shared" ref="B27:B29" si="13">H5+H13+H20</f>
        <v>184856.3728</v>
      </c>
      <c r="C27" s="92">
        <v>0.0</v>
      </c>
      <c r="D27" s="92">
        <f t="shared" ref="D27:D30" si="14">B27+C27</f>
        <v>184856.3728</v>
      </c>
    </row>
    <row r="28" ht="15.75" customHeight="1">
      <c r="A28" s="123" t="str">
        <f>Lists!$B$3</f>
        <v>Shareholder - Jagadeshwaran</v>
      </c>
      <c r="B28" s="92">
        <f t="shared" si="13"/>
        <v>163502.5328</v>
      </c>
      <c r="C28" s="92">
        <v>-116980.0</v>
      </c>
      <c r="D28" s="92">
        <f t="shared" si="14"/>
        <v>46522.53278</v>
      </c>
    </row>
    <row r="29" ht="15.75" customHeight="1">
      <c r="A29" s="123" t="str">
        <f>Lists!$B$4</f>
        <v>Shareholder - Vellingiri</v>
      </c>
      <c r="B29" s="92">
        <f t="shared" si="13"/>
        <v>382053.4078</v>
      </c>
      <c r="C29" s="92">
        <v>116980.0</v>
      </c>
      <c r="D29" s="92">
        <f t="shared" si="14"/>
        <v>499033.4078</v>
      </c>
    </row>
    <row r="30" ht="15.75" customHeight="1">
      <c r="A30" s="123" t="str">
        <f>Lists!$B$5</f>
        <v>Vikas</v>
      </c>
      <c r="B30" s="92">
        <f>H8</f>
        <v>-730412.3133</v>
      </c>
      <c r="C30" s="92">
        <v>0.0</v>
      </c>
      <c r="D30" s="92">
        <f t="shared" si="14"/>
        <v>-730412.3133</v>
      </c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20"/>
    </row>
    <row r="32" ht="15.75" customHeight="1">
      <c r="A32" s="128" t="s">
        <v>405</v>
      </c>
      <c r="B32" s="120"/>
      <c r="C32" s="120"/>
      <c r="D32" s="120"/>
      <c r="E32" s="120"/>
      <c r="F32" s="120"/>
      <c r="G32" s="120"/>
      <c r="H32" s="120"/>
      <c r="I32" s="120"/>
    </row>
    <row r="33" ht="15.75" customHeight="1">
      <c r="A33" s="120"/>
      <c r="B33" s="120"/>
      <c r="C33" s="120"/>
      <c r="D33" s="120"/>
      <c r="E33" s="120"/>
      <c r="F33" s="120"/>
      <c r="G33" s="120"/>
      <c r="H33" s="120"/>
      <c r="I33" s="120"/>
    </row>
  </sheetData>
  <printOptions/>
  <pageMargins bottom="1.0" footer="0.0" header="0.0" left="0.75" right="0.75" top="1.0"/>
  <pageSetup paperSize="9" orientation="portrait"/>
  <drawing r:id="rId1"/>
</worksheet>
</file>